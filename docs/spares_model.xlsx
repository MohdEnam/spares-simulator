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  <sheet name="Notes" sheetId="2" state="visible" r:id="rId4"/>
    <sheet name="Poisson_Table" sheetId="3" state="visible" r:id="rId5"/>
    <sheet name="Assumptions" sheetId="4" state="visible" r:id="rId6"/>
    <sheet name="Check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<sst xmlns="http://schemas.openxmlformats.org/spreadsheetml/2006/main" count="334" uniqueCount="236">
  <si>
    <t xml:space="preserve">Spares Sizing Model - component-level spares for drives, PSUs, optics, GPUs</t>
  </si>
  <si>
    <t xml:space="preserve">Legend: blue text on yellow = input you can change | black = formula | green = link from another sheet. Change inputs only in yellow cells (rows 6-13, and the blocks in column I).</t>
  </si>
  <si>
    <t xml:space="preserve">INPUTS</t>
  </si>
  <si>
    <t xml:space="preserve">Part class</t>
  </si>
  <si>
    <t xml:space="preserve">Drives (HDD)</t>
  </si>
  <si>
    <t xml:space="preserve">PSUs</t>
  </si>
  <si>
    <t xml:space="preserve">Optics (transceivers)</t>
  </si>
  <si>
    <t xml:space="preserve">GPUs (H100)</t>
  </si>
  <si>
    <t xml:space="preserve">Total</t>
  </si>
  <si>
    <t xml:space="preserve">OPTICS PRICE SCENARIO</t>
  </si>
  <si>
    <t xml:space="preserve">Fleet size (installed units; GPUs = modules or boards per I17)</t>
  </si>
  <si>
    <t xml:space="preserve">Selected price (Generic / Branded)</t>
  </si>
  <si>
    <t xml:space="preserve">Generic</t>
  </si>
  <si>
    <t xml:space="preserve">Annual failure rate (AFR)</t>
  </si>
  <si>
    <t xml:space="preserve">Generic 800G OSFP 2xDR4 ($)</t>
  </si>
  <si>
    <t xml:space="preserve">Replenishment lead time (weeks)</t>
  </si>
  <si>
    <t xml:space="preserve">Branded-equivalent 800G OSFP 2xDR4, MSRP ($)</t>
  </si>
  <si>
    <t xml:space="preserve">Target fill rate (service level)</t>
  </si>
  <si>
    <t xml:space="preserve">Optics unit cost (D10) follows I6. Sources on Assumptions tab.</t>
  </si>
  <si>
    <t xml:space="preserve">Unit cost ($)</t>
  </si>
  <si>
    <t xml:space="preserve">Datasheet MTBF (hours) - PSUs only, converts to AFR</t>
  </si>
  <si>
    <t xml:space="preserve">n/a</t>
  </si>
  <si>
    <t xml:space="preserve">AFR sources - Drives: Backblaze 2025 | PSUs: formula AFR = 1 - e^(-8760/MTBF) from row 11 | Optics: assumption | GPUs: derived from Meta Llama 3 (I20-I24)</t>
  </si>
  <si>
    <t xml:space="preserve">Weeks per year (constant)</t>
  </si>
  <si>
    <t xml:space="preserve">Fill rate = P(lead-time demand &lt;= S-1): chance a failure finds a spare on the shelf. Drives the stock level. See Notes.</t>
  </si>
  <si>
    <t xml:space="preserve">Hours per year (constant)</t>
  </si>
  <si>
    <t xml:space="preserve">All input values are labeled on the Assumptions tab (status + source).</t>
  </si>
  <si>
    <t xml:space="preserve">OUTPUTS - POISSON (primary method)</t>
  </si>
  <si>
    <t xml:space="preserve">Expected failures per year</t>
  </si>
  <si>
    <t xml:space="preserve">GPU INPUTS (NVIDIA H100 SXM)</t>
  </si>
  <si>
    <t xml:space="preserve">Expected demand during lead time (lambda)</t>
  </si>
  <si>
    <t xml:space="preserve">GPUs installed</t>
  </si>
  <si>
    <t xml:space="preserve">Recommended stock level S (Poisson, meets fill-rate target)</t>
  </si>
  <si>
    <t xml:space="preserve">Sparing unit (Module / Board)</t>
  </si>
  <si>
    <t xml:space="preserve">Module</t>
  </si>
  <si>
    <t xml:space="preserve">Reorder point (one-for-one: reorder at every failure) = S - 1</t>
  </si>
  <si>
    <t xml:space="preserve">GPUs per HGX board</t>
  </si>
  <si>
    <t xml:space="preserve">Safety stock = S - lambda</t>
  </si>
  <si>
    <t xml:space="preserve">HGX H100 8-GPU board price, new ($)</t>
  </si>
  <si>
    <t xml:space="preserve">Capital tied up in spares ($)</t>
  </si>
  <si>
    <t xml:space="preserve">Meta Llama 3 run: faulty-GPU interruptions</t>
  </si>
  <si>
    <t xml:space="preserve">Achieved fill rate = P(D &lt;= S-1)  [TARGET METRIC]</t>
  </si>
  <si>
    <t xml:space="preserve">Meta Llama 3 run: GPU HBM3 interruptions</t>
  </si>
  <si>
    <t xml:space="preserve">Cycle service level (no stockout in one lead time) = P(D &lt;= S)</t>
  </si>
  <si>
    <t xml:space="preserve">Meta Llama 3 run: cluster size (H100 GPUs)</t>
  </si>
  <si>
    <t xml:space="preserve">Lookup table range check</t>
  </si>
  <si>
    <t xml:space="preserve">Meta Llama 3 run: length (days)</t>
  </si>
  <si>
    <t xml:space="preserve">Derived per-GPU AFR (annualized) = (I20+I21)/I22 x 365/I23</t>
  </si>
  <si>
    <t xml:space="preserve">OUTPUTS - NORMAL APPROXIMATION (comparison only)</t>
  </si>
  <si>
    <t xml:space="preserve">Module = spare single SXM GPUs (unit cost = board price / 8). Board = spare whole HGX boards; one GPU failure takes the board out, so board AFR = 1-(1-AFR)^8.</t>
  </si>
  <si>
    <t xml:space="preserve">z-score for target</t>
  </si>
  <si>
    <t xml:space="preserve">The 9.1% is an INTERRUPTION rate - likely an upper bound for physical replacements (some faults clear with a reset).</t>
  </si>
  <si>
    <t xml:space="preserve">Stock level S (normal: S-1 covers lambda + z x sqrt(lambda))</t>
  </si>
  <si>
    <t xml:space="preserve">True fill rate P(D &lt;= S-1) if you stocked the normal S</t>
  </si>
  <si>
    <t xml:space="preserve">POISSON vs NORMAL</t>
  </si>
  <si>
    <t xml:space="preserve">Difference in units (Poisson S - Normal S)</t>
  </si>
  <si>
    <t xml:space="preserve">Difference in capital ($)</t>
  </si>
  <si>
    <t xml:space="preserve">Normal approx under-covers target?</t>
  </si>
  <si>
    <t xml:space="preserve">OPTICS PRICE SCENARIO - SIDE BY SIDE (stock level from Poisson, column D)</t>
  </si>
  <si>
    <t xml:space="preserve">Metric</t>
  </si>
  <si>
    <t xml:space="preserve">Branded-equivalent</t>
  </si>
  <si>
    <t xml:space="preserve">Difference (Branded - Generic)</t>
  </si>
  <si>
    <t xml:space="preserve">Optics unit price ($)</t>
  </si>
  <si>
    <t xml:space="preserve">Optics spares capital = S x price ($)</t>
  </si>
  <si>
    <t xml:space="preserve">Drive + optics spares capital ($)</t>
  </si>
  <si>
    <t xml:space="preserve">Total spares capital, all 4 classes ($)</t>
  </si>
  <si>
    <t xml:space="preserve">OPTICS AFR SENSITIVITY (fleet, lead time, fill-rate target from column D)</t>
  </si>
  <si>
    <t xml:space="preserve">Scenario</t>
  </si>
  <si>
    <t xml:space="preserve">Optics AFR</t>
  </si>
  <si>
    <t xml:space="preserve">Lead-time demand (lambda)</t>
  </si>
  <si>
    <t xml:space="preserve">Recommended stock S</t>
  </si>
  <si>
    <t xml:space="preserve">Achieved fill rate</t>
  </si>
  <si>
    <t xml:space="preserve">Capital - generic ($)</t>
  </si>
  <si>
    <t xml:space="preserve">Capital - branded ($)</t>
  </si>
  <si>
    <t xml:space="preserve">AFR scenario 1</t>
  </si>
  <si>
    <t xml:space="preserve">AFR scenario 2</t>
  </si>
  <si>
    <t xml:space="preserve">AFR scenario 3</t>
  </si>
  <si>
    <t xml:space="preserve">Row 47 (2%) should match the base case in column D above.</t>
  </si>
  <si>
    <t xml:space="preserve">GPU SPARING UNIT - MODULE vs HGX BOARD, per-GPU AFR sensitivity (GPUs, lead time, target from column E / I16)</t>
  </si>
  <si>
    <t xml:space="preserve">Per-GPU AFR</t>
  </si>
  <si>
    <t xml:space="preserve">Module: lead-time demand</t>
  </si>
  <si>
    <t xml:space="preserve">Module: stock S</t>
  </si>
  <si>
    <t xml:space="preserve">Module: capital ($)</t>
  </si>
  <si>
    <t xml:space="preserve">Board AFR</t>
  </si>
  <si>
    <t xml:space="preserve">Board: lead-time demand</t>
  </si>
  <si>
    <t xml:space="preserve">Board: stock S</t>
  </si>
  <si>
    <t xml:space="preserve">Board: capital ($)</t>
  </si>
  <si>
    <t xml:space="preserve">Base case (Meta Llama 3 derived)</t>
  </si>
  <si>
    <t xml:space="preserve">Board / module capital ratio at base case</t>
  </si>
  <si>
    <t xml:space="preserve">Row 55 matches column E: module figures when I17 = Module, board figures when I17 = Board.</t>
  </si>
  <si>
    <t xml:space="preserve">How to use</t>
  </si>
  <si>
    <t xml:space="preserve">1. Edit only yellow cells on Model (rows 6-13). Everything else recalculates.</t>
  </si>
  <si>
    <t xml:space="preserve">2. The Poisson block is the answer. The normal block shows why Poisson is used.</t>
  </si>
  <si>
    <t xml:space="preserve">3. Check tab should read ALL PASS. If Model says EXTEND TABLE, lambda is too large for the 0-200 lookup.</t>
  </si>
  <si>
    <t xml:space="preserve">Method</t>
  </si>
  <si>
    <t xml:space="preserve">Expected failures/yr = fleet x AFR. Lead-time demand lambda = failures/yr x lead time / 52.</t>
  </si>
  <si>
    <t xml:space="preserve">Lead-time demand is modeled as Poisson(lambda): failures are rare, independent, and arrive one at a time.</t>
  </si>
  <si>
    <t xml:space="preserve">Policy: one-for-one (S-1, S) base stock - every failure triggers one replacement order.</t>
  </si>
  <si>
    <t xml:space="preserve">Normal approximation: S - 1 = ROUNDUP(lambda + z x sqrt(lambda)). Assumes a symmetric bell curve, which breaks down at small lambda.</t>
  </si>
  <si>
    <t xml:space="preserve">Target metric - fill rate (decision 2026-09-24)</t>
  </si>
  <si>
    <t xml:space="preserve">Fill rate = P(D &lt;= S-1): the chance a failure finds a spare on the shelf. It sets the recommended stock level.</t>
  </si>
  <si>
    <t xml:space="preserve">Stock level S = smallest S with P(D &lt;= S-1) &gt;= target. Excel has no inverse Poisson, so Poisson_Table lists the CDF for k = 0-200; COUNTIF counts k values below target, which equals S-1.</t>
  </si>
  <si>
    <t xml:space="preserve">Cycle service level (no stockout in one lead time) = P(D &lt;= S) is shown for reference only. It is always higher than fill rate at the same S.</t>
  </si>
  <si>
    <t xml:space="preserve">Data notes</t>
  </si>
  <si>
    <t xml:space="preserve">Drives: Backblaze full-year 2025 AFR 1.36%. Backblaze AFR varies by drive model and age, and comes from a cloud storage fleet, not an AI cluster. Treat it as a baseline, not a GPU-cluster rate.</t>
  </si>
  <si>
    <t xml:space="preserve">PSUs: AFR = 1 - e^(-8760/MTBF). The 500,000-hour MTBF is a lab rating at 50 C and 85% load; field failure rates often run higher. Assumes a constant failure rate.</t>
  </si>
  <si>
    <t xml:space="preserve">Optics: 2% is an unsourced planner assumption - no public field AFR for 800G modules was found. Tested at 1% / 2% / 4% in Model rows 46-48.</t>
  </si>
  <si>
    <t xml:space="preserve">Prices: drive, PSU and both optics prices are sourced and dated on the Assumptions tab. Street prices move - re-check before quoting a dollar figure.</t>
  </si>
  <si>
    <t xml:space="preserve">GPUs: per-GPU AFR 9.08% = (148 faulty-GPU + 72 HBM3 interruptions) / 16,384 H100s x 365 / 54 days, from Meta's Llama 3 paper. It is an interruption rate from one training run - likely an upper bound for physical replacements. Tested at 2% / 5% / 9.08%.</t>
  </si>
  <si>
    <t xml:space="preserve">GPUs: Module mode spares single SXM GPUs at board price / 8 (a proxy - single modules are rarely sold new). Board mode spares whole HGX boards at $179,000; one GPU failure takes the board out, so board AFR = 1 - (1 - AFR)^8.</t>
  </si>
  <si>
    <t xml:space="preserve">Fleet sizes and lead times are sample values. Dollar totals scale with fleet size.</t>
  </si>
  <si>
    <t xml:space="preserve">Known limits (v1)</t>
  </si>
  <si>
    <t xml:space="preserve">Constant failure rate - ignores infant mortality and wear-out (bathtub curve).</t>
  </si>
  <si>
    <t xml:space="preserve">Independent failures - ignores bad-batch correlation, which matters for optics.</t>
  </si>
  <si>
    <t xml:space="preserve">Fixed lead time - no lead-time variability.</t>
  </si>
  <si>
    <t xml:space="preserve">No repair/RMA loop, no multi-site pooling. GPU board-level sparing is shown as a comparison, not as full node-level sparing.</t>
  </si>
  <si>
    <t xml:space="preserve">Cumulative Poisson P(lead-time demand &lt;= k), lambda pulled from Model row 16</t>
  </si>
  <si>
    <t xml:space="preserve">Helper sheet - do not edit. S - 1 = count of k values whose CDF is still below the fill-rate target, so S = that count + 1.</t>
  </si>
  <si>
    <t xml:space="preserve">k</t>
  </si>
  <si>
    <t xml:space="preserve">Drives</t>
  </si>
  <si>
    <t xml:space="preserve">Optics</t>
  </si>
  <si>
    <t xml:space="preserve">GPUs (selected unit)</t>
  </si>
  <si>
    <t xml:space="preserve">Optics AFR sens. 1</t>
  </si>
  <si>
    <t xml:space="preserve">Optics AFR sens. 2</t>
  </si>
  <si>
    <t xml:space="preserve">Optics AFR sens. 3</t>
  </si>
  <si>
    <t xml:space="preserve">GPU module 2%</t>
  </si>
  <si>
    <t xml:space="preserve">GPU module 5%</t>
  </si>
  <si>
    <t xml:space="preserve">GPU module base</t>
  </si>
  <si>
    <t xml:space="preserve">GPU board 2%</t>
  </si>
  <si>
    <t xml:space="preserve">GPU board 5%</t>
  </si>
  <si>
    <t xml:space="preserve">GPU board base</t>
  </si>
  <si>
    <t xml:space="preserve">Assumption and source log - every number in the model</t>
  </si>
  <si>
    <t xml:space="preserve">Parameter</t>
  </si>
  <si>
    <t xml:space="preserve">Current value</t>
  </si>
  <si>
    <t xml:space="preserve">Status</t>
  </si>
  <si>
    <t xml:space="preserve">Source / basis</t>
  </si>
  <si>
    <t xml:space="preserve">Replaced in</t>
  </si>
  <si>
    <t xml:space="preserve">Fleet size</t>
  </si>
  <si>
    <t xml:space="preserve">ASSUMPTION - illustrative</t>
  </si>
  <si>
    <t xml:space="preserve">Roadmap worked example (500 drives).</t>
  </si>
  <si>
    <t xml:space="preserve">User scenario input</t>
  </si>
  <si>
    <t xml:space="preserve">Annual failure rate</t>
  </si>
  <si>
    <t xml:space="preserve">SOURCED - Backblaze</t>
  </si>
  <si>
    <t xml:space="preserve">Backblaze, 'Backblaze Drive Stats for 2025' - full-year 2025 fleet AFR 1.36% (2024: 1.55%). https://www.backblaze.com/blog/backblaze-drive-stats-for-2025/</t>
  </si>
  <si>
    <t xml:space="preserve">-</t>
  </si>
  <si>
    <t xml:space="preserve">Lead time (weeks)</t>
  </si>
  <si>
    <t xml:space="preserve">ASSUMPTION - sample value</t>
  </si>
  <si>
    <t xml:space="preserve">Roadmap worked example (12 weeks). No supplier quote.</t>
  </si>
  <si>
    <t xml:space="preserve">Supplier quote later</t>
  </si>
  <si>
    <t xml:space="preserve">Target fill rate</t>
  </si>
  <si>
    <t xml:space="preserve">POLICY CHOICE</t>
  </si>
  <si>
    <t xml:space="preserve">Planner-set service target, not a measured value.</t>
  </si>
  <si>
    <t xml:space="preserve">SOURCED - tracked retail price</t>
  </si>
  <si>
    <t xml:space="preserve">ListofDisks product page, Seagate Exos ST24000NM002H 24TB (new): lowest current new offer $1,079.99 (Newegg), checked 2026-09-24. https://www.listofdisks.com/products/seagate-exos-24tb-st24000nm002h-d62767 . NOTE: user-supplied $559.99 was not found on ListofDisks for this drive on 2026-09-24.</t>
  </si>
  <si>
    <t xml:space="preserve">Re-check before quoting</t>
  </si>
  <si>
    <t xml:space="preserve">Illustrative fleet, not from a real site.</t>
  </si>
  <si>
    <t xml:space="preserve">Datasheet MTBF (hours)</t>
  </si>
  <si>
    <t xml:space="preserve">SOURCED - vendor datasheet</t>
  </si>
  <si>
    <t xml:space="preserve">Artesyn/Advanced Energy datasheet 'ARTESYN CSU SERIES 1800W to 2400W' (CRPS server PSU; covers CSU2000AP-3-100/-200): 'MTBF 500 k hours at 50 C, 85% load, nominal input'. https://www.mouser.com/datasheet/2/863/ENG_CSU_SERIES_235_01_06_03_25-3462455.pdf</t>
  </si>
  <si>
    <t xml:space="preserve">DERIVED</t>
  </si>
  <si>
    <t xml:space="preserve">AFR = 1 - e^(-8760 / MTBF). Assumes constant failure rate (exponential). Datasheet MTBF is quoted at 50 C / 85% load; field rates can differ.</t>
  </si>
  <si>
    <t xml:space="preserve">ASSUMPTION - placeholder</t>
  </si>
  <si>
    <t xml:space="preserve">No source yet.</t>
  </si>
  <si>
    <t xml:space="preserve">Planner-set service target.</t>
  </si>
  <si>
    <t xml:space="preserve">SOURCED - distributor price</t>
  </si>
  <si>
    <t xml:space="preserve">Mouser, Advanced Energy/Artesyn CSU2000AP-3-100, qty-1 unit price $531.16, checked 2026-09-24. https://www.mouser.com/ProductDetail/Advanced-Energy-Artesyn/CSU2000AP-3-100?qs=PqoDHHvF649qddCp7yZ1ZA%3D%3D (DigiKey qty-1: $537.45)</t>
  </si>
  <si>
    <t xml:space="preserve">ASSUMPTION - unsourced</t>
  </si>
  <si>
    <t xml:space="preserve">No public field AFR for 800G optics found (searched vendor datasheets + literature, 2026-09-24). Planner assumption used as a sensitivity lever. Best lead: Xie et al., 'Characteristics of Field Operation Data for Optical Transceivers in Hyperscale Data Centers', OFC 2022 (IEEE paywall; abstract gives no rate).</t>
  </si>
  <si>
    <t xml:space="preserve">Tested at 1% / 2% / 4% (Model rows 46-48)</t>
  </si>
  <si>
    <t xml:space="preserve">Unit cost ($) - selected scenario</t>
  </si>
  <si>
    <t xml:space="preserve">FORMULA</t>
  </si>
  <si>
    <t xml:space="preserve">Follows the Generic/Branded toggle in Model!I6.</t>
  </si>
  <si>
    <t xml:space="preserve">Generic price ($)</t>
  </si>
  <si>
    <t xml:space="preserve">SOURCED - vendor list price</t>
  </si>
  <si>
    <t xml:space="preserve">NADDOD #32798, Generic Compatible 800GBASE-2xXDR4 OSFP (OSFP-800G-2xXDR4), US$919.00, checked live 2026-09-24. https://www.naddod.com/products/32798.html . NOTE: user-supplied $1,199 did not appear on the page on 2026-09-24.</t>
  </si>
  <si>
    <t xml:space="preserve">Branded-equivalent price ($)</t>
  </si>
  <si>
    <t xml:space="preserve">SOURCED - reseller MSRP</t>
  </si>
  <si>
    <t xml:space="preserve">SHI, Axiom OSFP112 transceiver (equivalent to Arista OSFP-800G-2XDR4), MSRP $4,141.54 (SHI selling price shown: $3,795.00), checked 2026-09-24. https://www.shi.com/product/50875021/Axiom-OSFP112-transceiver-module-(equivalent-to:-Arista-OSFP-800G-2XDR4)</t>
  </si>
  <si>
    <t xml:space="preserve">1,024 GPUs = 128 HGX boards. Illustrative cluster, not from a real site.</t>
  </si>
  <si>
    <t xml:space="preserve">Sparing unit</t>
  </si>
  <si>
    <t xml:space="preserve">Module = spare single SXM GPUs; Board = spare whole 8-GPU HGX boards. Both shown side by side in Model rows 51-56.</t>
  </si>
  <si>
    <t xml:space="preserve">Llama 3 interruption counts / cluster / days</t>
  </si>
  <si>
    <t xml:space="preserve">SOURCED - Meta paper</t>
  </si>
  <si>
    <t xml:space="preserve">Meta, 'The Llama 3 Herd of Models' (2024), Table 5: 54-day pre-training run on 16,384 H100 80GB GPUs; 419 unexpected interruptions, incl. 148 faulty GPU (30.1%) and 72 GPU HBM3 memory (17.2%). https://ai.meta.com/research/publications/the-llama-3-herd-of-models/ (summary: https://www.datacenterdynamics.com/en/news/meta-report-details-hundreds-of-gpu-and-hbm3-related-interruptions-to-llama-3-training-run/)</t>
  </si>
  <si>
    <t xml:space="preserve">DERIVED - upper bound</t>
  </si>
  <si>
    <t xml:space="preserve">(148 + 72) / 16,384 x 365 / 54 = 9.08%. This is an interruption rate from one training run, not a confirmed replacement rate; some faults clear with a reset. Tested at 2% / 5% / 9.08% (Model rows 53-55).</t>
  </si>
  <si>
    <t xml:space="preserve">Sensitivity rows 53-55</t>
  </si>
  <si>
    <t xml:space="preserve">HGX board price ($)</t>
  </si>
  <si>
    <t xml:space="preserve">SOURCED - reseller list price</t>
  </si>
  <si>
    <t xml:space="preserve">Network Outlet, 'NVIDIA HGX H100 SXM5 8-GPU Board (935-24287-0301-000) Board - New', $179,000.00, checked 2026-09-25. https://networkoutlet.com/products/nvidia-hgx-h100-sxm5-8-gpu-board-935-24287-0301-000-board-new</t>
  </si>
  <si>
    <t xml:space="preserve">Module unit cost ($)</t>
  </si>
  <si>
    <t xml:space="preserve">DERIVED - proxy</t>
  </si>
  <si>
    <t xml:space="preserve">Board price / 8 = $22,375. Proxy only: single H100 SXM modules are rarely sold new on their own.</t>
  </si>
  <si>
    <t xml:space="preserve">No source yet - sample value.</t>
  </si>
  <si>
    <t xml:space="preserve">All</t>
  </si>
  <si>
    <t xml:space="preserve">Weeks per year</t>
  </si>
  <si>
    <t xml:space="preserve">CONSTANT</t>
  </si>
  <si>
    <t xml:space="preserve">Calendar convention.</t>
  </si>
  <si>
    <t xml:space="preserve">Hours per year</t>
  </si>
  <si>
    <t xml:space="preserve">365 x 24.</t>
  </si>
  <si>
    <t xml:space="preserve">Worked example verification (self-contained - does not depend on Model inputs)</t>
  </si>
  <si>
    <t xml:space="preserve">Inputs</t>
  </si>
  <si>
    <t xml:space="preserve">Source: roadmap Step 2 spec</t>
  </si>
  <si>
    <t xml:space="preserve">Annual failure rate (Backblaze 2025)</t>
  </si>
  <si>
    <t xml:space="preserve">Check</t>
  </si>
  <si>
    <t xml:space="preserve">Model logic result</t>
  </si>
  <si>
    <t xml:space="preserve">Expected (spec / hand calc)</t>
  </si>
  <si>
    <t xml:space="preserve">Tolerance</t>
  </si>
  <si>
    <t xml:space="preserve">Result</t>
  </si>
  <si>
    <t xml:space="preserve">Expected demand during lead time</t>
  </si>
  <si>
    <t xml:space="preserve">Poisson S at 95% fill rate (hand calc: P(D&lt;=3)=0.926, P(D&lt;=4)=0.979, so S-1=4)</t>
  </si>
  <si>
    <t xml:space="preserve">Model tab reproduces this S when drive inputs = example</t>
  </si>
  <si>
    <t xml:space="preserve">PSU AFR from 500k-hour MTBF: 1 - e^(-8760/500000)</t>
  </si>
  <si>
    <t xml:space="preserve">Row 13: fill rate = P(D &lt;= S-1). P(D&lt;=3) = 92.6% misses 95%, P(D&lt;=4) = 97.9% clears it, so S-1 = 4 and S = 5.</t>
  </si>
  <si>
    <t xml:space="preserve">Row 14 reads the Model only while its drive inputs match the example; otherwise it echoes row 13 so scenario changes don't break the check.</t>
  </si>
  <si>
    <t xml:space="preserve">RESUME NUMBERS CHECK (base-case Model inputs)</t>
  </si>
  <si>
    <t xml:space="preserve">Model result</t>
  </si>
  <si>
    <t xml:space="preserve">Expected (hand calc)</t>
  </si>
  <si>
    <t xml:space="preserve">Drive stock at 95% fill rate, P(D&lt;=S-1)</t>
  </si>
  <si>
    <t xml:space="preserve">Drive stock at 95% cycle service level, P(D&lt;=S)</t>
  </si>
  <si>
    <t xml:space="preserve">Extra optics units: normal approx minus Poisson</t>
  </si>
  <si>
    <t xml:space="preserve">Drive + optics spares capital, generic optics (5 x $1,079.99 + 11 x $919.00)</t>
  </si>
  <si>
    <t xml:space="preserve">Drive + optics spares capital, branded optics (5 x $1,079.99 + 11 x $4,141.54)</t>
  </si>
  <si>
    <t xml:space="preserve">The earlier ~$16,000 target assumed $559.99 drives and $1,199 optics. Neither price was on the linked pages on 2026-09-24; rows 26-27 use the verified prices.</t>
  </si>
  <si>
    <t xml:space="preserve">Rows 23-27 assume base-case Model inputs; they will FAIL by design if you change the scenario.</t>
  </si>
  <si>
    <t xml:space="preserve">GPU CHECKS (base case, I17 = Module)</t>
  </si>
  <si>
    <t xml:space="preserve">Per-GPU AFR = (148+72)/16,384 x 365/54</t>
  </si>
  <si>
    <t xml:space="preserve">Board AFR = 1-(1-AFR)^8</t>
  </si>
  <si>
    <t xml:space="preserve">Module stock S at 95% fill rate</t>
  </si>
  <si>
    <t xml:space="preserve">Module spares capital (22 x $22,375)</t>
  </si>
  <si>
    <t xml:space="preserve">Board stock S at 95% fill rate</t>
  </si>
  <si>
    <t xml:space="preserve">Board spares capital (17 x $179,000)</t>
  </si>
  <si>
    <t xml:space="preserve">Model column E (Module) stock S</t>
  </si>
  <si>
    <t xml:space="preserve">All-4-classes capital, generic optics, GPU module</t>
  </si>
  <si>
    <t xml:space="preserve">All-4-classes capital, branded optics, GPU module</t>
  </si>
  <si>
    <t xml:space="preserve">Overall</t>
  </si>
</sst>
</file>

<file path=xl/styles.xml><?xml version="1.0" encoding="utf-8"?>
<styleSheet xmlns="http://schemas.openxmlformats.org/spreadsheetml/2006/main">
  <numFmts count="16">
    <numFmt numFmtId="164" formatCode="General"/>
    <numFmt numFmtId="165" formatCode="#,##0"/>
    <numFmt numFmtId="166" formatCode="0.00%"/>
    <numFmt numFmtId="167" formatCode="\$#,##0.00"/>
    <numFmt numFmtId="168" formatCode="0"/>
    <numFmt numFmtId="169" formatCode="0.0%"/>
    <numFmt numFmtId="170" formatCode="0.00"/>
    <numFmt numFmtId="171" formatCode="@"/>
    <numFmt numFmtId="172" formatCode="\$#,##0"/>
    <numFmt numFmtId="173" formatCode="0.000"/>
    <numFmt numFmtId="174" formatCode="0;\-0;0"/>
    <numFmt numFmtId="175" formatCode="\$#,##0;&quot;($&quot;#,##0\);\-"/>
    <numFmt numFmtId="176" formatCode="0.0\x"/>
    <numFmt numFmtId="177" formatCode="0.0000"/>
    <numFmt numFmtId="178" formatCode="0.000%"/>
    <numFmt numFmtId="179" formatCode="0.0000%"/>
  </numFmts>
  <fonts count="16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0000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808080"/>
      <name val="Arial"/>
      <family val="0"/>
      <charset val="1"/>
    </font>
    <font>
      <i val="true"/>
      <sz val="10"/>
      <color rgb="FFC00000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b val="true"/>
      <sz val="10"/>
      <color rgb="FFC00000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D9E1F2"/>
        <bgColor rgb="FFF2F2F2"/>
      </patternFill>
    </fill>
    <fill>
      <patternFill patternType="solid">
        <fgColor rgb="FFFFFF00"/>
        <bgColor rgb="FFFFFF00"/>
      </patternFill>
    </fill>
    <fill>
      <patternFill patternType="solid">
        <fgColor rgb="FFF2F2F2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70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9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2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1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3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5" fontId="8" fillId="5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75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2" fontId="8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6" fontId="7" fillId="5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7" fontId="1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8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9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7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1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72" fontId="14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8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5" topLeftCell="B6" activePane="bottomRight" state="frozen"/>
      <selection pane="topLeft" activeCell="A1" activeCellId="0" sqref="A1"/>
      <selection pane="topRight" activeCell="B1" activeCellId="0" sqref="B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8"/>
    <col collapsed="false" customWidth="true" hidden="false" outlineLevel="0" max="5" min="2" style="0" width="20"/>
    <col collapsed="false" customWidth="true" hidden="false" outlineLevel="0" max="7" min="6" style="0" width="22"/>
    <col collapsed="false" customWidth="true" hidden="false" outlineLevel="0" max="8" min="8" style="0" width="44"/>
    <col collapsed="false" customWidth="true" hidden="false" outlineLevel="0" max="9" min="9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/>
      <c r="C4" s="3"/>
      <c r="D4" s="3"/>
      <c r="E4" s="3"/>
      <c r="F4" s="3"/>
    </row>
    <row r="5" customFormat="false" ht="15" hidden="false" customHeight="false" outlineLevel="0" collapsed="false">
      <c r="A5" s="4" t="s">
        <v>3</v>
      </c>
      <c r="B5" s="5" t="s">
        <v>4</v>
      </c>
      <c r="C5" s="5" t="s">
        <v>5</v>
      </c>
      <c r="D5" s="5" t="s">
        <v>6</v>
      </c>
      <c r="E5" s="5" t="s">
        <v>7</v>
      </c>
      <c r="F5" s="5" t="s">
        <v>8</v>
      </c>
      <c r="H5" s="3" t="s">
        <v>9</v>
      </c>
      <c r="I5" s="6"/>
    </row>
    <row r="6" customFormat="false" ht="15" hidden="false" customHeight="false" outlineLevel="0" collapsed="false">
      <c r="A6" s="7" t="s">
        <v>10</v>
      </c>
      <c r="B6" s="8" t="n">
        <v>500</v>
      </c>
      <c r="C6" s="8" t="n">
        <v>400</v>
      </c>
      <c r="D6" s="8" t="n">
        <v>1000</v>
      </c>
      <c r="E6" s="9" t="n">
        <f aca="false">IF($I$17="Board",$I$16/$I$18,$I$16)</f>
        <v>1024</v>
      </c>
      <c r="H6" s="7" t="s">
        <v>11</v>
      </c>
      <c r="I6" s="10" t="s">
        <v>12</v>
      </c>
    </row>
    <row r="7" customFormat="false" ht="15" hidden="false" customHeight="false" outlineLevel="0" collapsed="false">
      <c r="A7" s="7" t="s">
        <v>13</v>
      </c>
      <c r="B7" s="11" t="n">
        <v>0.0136</v>
      </c>
      <c r="C7" s="12" t="n">
        <f aca="false">1-EXP(-$B$13/C11)</f>
        <v>0.017367417183111</v>
      </c>
      <c r="D7" s="11" t="n">
        <v>0.02</v>
      </c>
      <c r="E7" s="12" t="n">
        <f aca="false">IF($I$17="Board",1-(1-$I$24)^$I$18,$I$24)</f>
        <v>0.0907615379050926</v>
      </c>
      <c r="H7" s="7" t="s">
        <v>14</v>
      </c>
      <c r="I7" s="13" t="n">
        <v>919</v>
      </c>
    </row>
    <row r="8" customFormat="false" ht="15" hidden="false" customHeight="false" outlineLevel="0" collapsed="false">
      <c r="A8" s="7" t="s">
        <v>15</v>
      </c>
      <c r="B8" s="14" t="n">
        <v>12</v>
      </c>
      <c r="C8" s="14" t="n">
        <v>8</v>
      </c>
      <c r="D8" s="14" t="n">
        <v>16</v>
      </c>
      <c r="E8" s="14" t="n">
        <v>8</v>
      </c>
      <c r="H8" s="7" t="s">
        <v>16</v>
      </c>
      <c r="I8" s="13" t="n">
        <v>4141.54</v>
      </c>
    </row>
    <row r="9" customFormat="false" ht="15" hidden="false" customHeight="false" outlineLevel="0" collapsed="false">
      <c r="A9" s="7" t="s">
        <v>17</v>
      </c>
      <c r="B9" s="15" t="n">
        <v>0.95</v>
      </c>
      <c r="C9" s="15" t="n">
        <v>0.95</v>
      </c>
      <c r="D9" s="15" t="n">
        <v>0.95</v>
      </c>
      <c r="E9" s="15" t="n">
        <v>0.95</v>
      </c>
      <c r="H9" s="2" t="s">
        <v>18</v>
      </c>
    </row>
    <row r="10" customFormat="false" ht="15" hidden="false" customHeight="false" outlineLevel="0" collapsed="false">
      <c r="A10" s="7" t="s">
        <v>19</v>
      </c>
      <c r="B10" s="13" t="n">
        <v>1079.99</v>
      </c>
      <c r="C10" s="13" t="n">
        <v>531.16</v>
      </c>
      <c r="D10" s="16" t="n">
        <f aca="false">IF($I$6="Branded",$I$8,$I$7)</f>
        <v>919</v>
      </c>
      <c r="E10" s="16" t="n">
        <f aca="false">IF($I$17="Board",$I$19,$I$19/$I$18)</f>
        <v>22375</v>
      </c>
    </row>
    <row r="11" customFormat="false" ht="15" hidden="false" customHeight="false" outlineLevel="0" collapsed="false">
      <c r="A11" s="0" t="s">
        <v>20</v>
      </c>
      <c r="B11" s="17" t="s">
        <v>21</v>
      </c>
      <c r="C11" s="8" t="n">
        <v>500000</v>
      </c>
      <c r="D11" s="17" t="s">
        <v>21</v>
      </c>
      <c r="E11" s="17" t="s">
        <v>21</v>
      </c>
      <c r="H11" s="2" t="s">
        <v>22</v>
      </c>
    </row>
    <row r="12" customFormat="false" ht="15" hidden="false" customHeight="false" outlineLevel="0" collapsed="false">
      <c r="A12" s="0" t="s">
        <v>23</v>
      </c>
      <c r="B12" s="10" t="n">
        <v>52</v>
      </c>
      <c r="H12" s="2" t="s">
        <v>24</v>
      </c>
    </row>
    <row r="13" customFormat="false" ht="15" hidden="false" customHeight="false" outlineLevel="0" collapsed="false">
      <c r="A13" s="0" t="s">
        <v>25</v>
      </c>
      <c r="B13" s="8" t="n">
        <v>8760</v>
      </c>
      <c r="H13" s="2" t="s">
        <v>26</v>
      </c>
    </row>
    <row r="14" customFormat="false" ht="15" hidden="false" customHeight="false" outlineLevel="0" collapsed="false">
      <c r="A14" s="3" t="s">
        <v>27</v>
      </c>
      <c r="B14" s="3"/>
      <c r="C14" s="3"/>
      <c r="D14" s="3"/>
      <c r="E14" s="3"/>
      <c r="F14" s="3"/>
    </row>
    <row r="15" customFormat="false" ht="15" hidden="false" customHeight="false" outlineLevel="0" collapsed="false">
      <c r="A15" s="7" t="s">
        <v>28</v>
      </c>
      <c r="B15" s="18" t="n">
        <f aca="false">B6*B7</f>
        <v>6.8</v>
      </c>
      <c r="C15" s="18" t="n">
        <f aca="false">C6*C7</f>
        <v>6.94696687324439</v>
      </c>
      <c r="D15" s="18" t="n">
        <f aca="false">D6*D7</f>
        <v>20</v>
      </c>
      <c r="E15" s="18" t="n">
        <f aca="false">E6*E7</f>
        <v>92.9398148148148</v>
      </c>
      <c r="F15" s="19" t="n">
        <f aca="false">SUM(B15:E15)</f>
        <v>126.686781688059</v>
      </c>
      <c r="H15" s="3" t="s">
        <v>29</v>
      </c>
      <c r="I15" s="6"/>
    </row>
    <row r="16" customFormat="false" ht="15" hidden="false" customHeight="false" outlineLevel="0" collapsed="false">
      <c r="A16" s="7" t="s">
        <v>30</v>
      </c>
      <c r="B16" s="18" t="n">
        <f aca="false">B15*B8/$B$12</f>
        <v>1.56923076923077</v>
      </c>
      <c r="C16" s="18" t="n">
        <f aca="false">C15*C8/$B$12</f>
        <v>1.06876413434529</v>
      </c>
      <c r="D16" s="18" t="n">
        <f aca="false">D15*D8/$B$12</f>
        <v>6.15384615384615</v>
      </c>
      <c r="E16" s="18" t="n">
        <f aca="false">E15*E8/$B$12</f>
        <v>14.298433048433</v>
      </c>
      <c r="F16" s="19" t="n">
        <f aca="false">SUM(B16:E16)</f>
        <v>23.0902741058553</v>
      </c>
      <c r="H16" s="7" t="s">
        <v>31</v>
      </c>
      <c r="I16" s="8" t="n">
        <v>1024</v>
      </c>
    </row>
    <row r="17" customFormat="false" ht="15" hidden="false" customHeight="false" outlineLevel="0" collapsed="false">
      <c r="A17" s="7" t="s">
        <v>32</v>
      </c>
      <c r="B17" s="20" t="n">
        <f aca="false">COUNTIF(Poisson_Table!B$4:B$204,"&lt;"&amp;B9)+1</f>
        <v>5</v>
      </c>
      <c r="C17" s="20" t="n">
        <f aca="false">COUNTIF(Poisson_Table!C$4:C$204,"&lt;"&amp;C9)+1</f>
        <v>4</v>
      </c>
      <c r="D17" s="20" t="n">
        <f aca="false">COUNTIF(Poisson_Table!D$4:D$204,"&lt;"&amp;D9)+1</f>
        <v>11</v>
      </c>
      <c r="E17" s="20" t="n">
        <f aca="false">COUNTIF(Poisson_Table!E$4:E$204,"&lt;"&amp;E9)+1</f>
        <v>22</v>
      </c>
      <c r="H17" s="7" t="s">
        <v>33</v>
      </c>
      <c r="I17" s="21" t="s">
        <v>34</v>
      </c>
    </row>
    <row r="18" customFormat="false" ht="15" hidden="false" customHeight="false" outlineLevel="0" collapsed="false">
      <c r="A18" s="7" t="s">
        <v>35</v>
      </c>
      <c r="B18" s="20" t="n">
        <f aca="false">MAX(0,B17-1)</f>
        <v>4</v>
      </c>
      <c r="C18" s="20" t="n">
        <f aca="false">MAX(0,C17-1)</f>
        <v>3</v>
      </c>
      <c r="D18" s="20" t="n">
        <f aca="false">MAX(0,D17-1)</f>
        <v>10</v>
      </c>
      <c r="E18" s="20" t="n">
        <f aca="false">MAX(0,E17-1)</f>
        <v>21</v>
      </c>
      <c r="H18" s="7" t="s">
        <v>36</v>
      </c>
      <c r="I18" s="14" t="n">
        <v>8</v>
      </c>
    </row>
    <row r="19" customFormat="false" ht="15" hidden="false" customHeight="false" outlineLevel="0" collapsed="false">
      <c r="A19" s="7" t="s">
        <v>37</v>
      </c>
      <c r="B19" s="18" t="n">
        <f aca="false">B17-B16</f>
        <v>3.43076923076923</v>
      </c>
      <c r="C19" s="18" t="n">
        <f aca="false">C17-C16</f>
        <v>2.93123586565471</v>
      </c>
      <c r="D19" s="18" t="n">
        <f aca="false">D17-D16</f>
        <v>4.84615384615385</v>
      </c>
      <c r="E19" s="18" t="n">
        <f aca="false">E17-E16</f>
        <v>7.70156695156695</v>
      </c>
      <c r="F19" s="19" t="n">
        <f aca="false">SUM(B19:E19)</f>
        <v>18.9097258941447</v>
      </c>
      <c r="H19" s="7" t="s">
        <v>38</v>
      </c>
      <c r="I19" s="22" t="n">
        <v>179000</v>
      </c>
    </row>
    <row r="20" customFormat="false" ht="15" hidden="false" customHeight="false" outlineLevel="0" collapsed="false">
      <c r="A20" s="7" t="s">
        <v>39</v>
      </c>
      <c r="B20" s="23" t="n">
        <f aca="false">B17*B10</f>
        <v>5399.95</v>
      </c>
      <c r="C20" s="23" t="n">
        <f aca="false">C17*C10</f>
        <v>2124.64</v>
      </c>
      <c r="D20" s="23" t="n">
        <f aca="false">D17*D10</f>
        <v>10109</v>
      </c>
      <c r="E20" s="23" t="n">
        <f aca="false">E17*E10</f>
        <v>492250</v>
      </c>
      <c r="F20" s="24" t="n">
        <f aca="false">SUM(B20:E20)</f>
        <v>509883.59</v>
      </c>
      <c r="H20" s="7" t="s">
        <v>40</v>
      </c>
      <c r="I20" s="14" t="n">
        <v>148</v>
      </c>
    </row>
    <row r="21" customFormat="false" ht="15" hidden="false" customHeight="false" outlineLevel="0" collapsed="false">
      <c r="A21" s="7" t="s">
        <v>41</v>
      </c>
      <c r="B21" s="25" t="n">
        <f aca="false">POISSON(B17-1,B16,TRUE())</f>
        <v>0.977975107947608</v>
      </c>
      <c r="C21" s="25" t="n">
        <f aca="false">POISSON(C17-1,C16,TRUE())</f>
        <v>0.976502676093756</v>
      </c>
      <c r="D21" s="25" t="n">
        <f aca="false">POISSON(D17-1,D16,TRUE())</f>
        <v>0.950694877849686</v>
      </c>
      <c r="E21" s="25" t="n">
        <f aca="false">POISSON(E17-1,E16,TRUE())</f>
        <v>0.965030110192868</v>
      </c>
      <c r="H21" s="7" t="s">
        <v>42</v>
      </c>
      <c r="I21" s="14" t="n">
        <v>72</v>
      </c>
    </row>
    <row r="22" customFormat="false" ht="15" hidden="false" customHeight="false" outlineLevel="0" collapsed="false">
      <c r="A22" s="7" t="s">
        <v>43</v>
      </c>
      <c r="B22" s="25" t="n">
        <f aca="false">POISSON(B17,B16,TRUE())</f>
        <v>0.99448501261882</v>
      </c>
      <c r="C22" s="25" t="n">
        <f aca="false">POISSON(C17,C16,TRUE())</f>
        <v>0.995173259016371</v>
      </c>
      <c r="D22" s="25" t="n">
        <f aca="false">POISSON(D17,D16,TRUE())</f>
        <v>0.976214593816763</v>
      </c>
      <c r="E22" s="25" t="n">
        <f aca="false">POISSON(E17,E16,TRUE())</f>
        <v>0.979346998941308</v>
      </c>
      <c r="H22" s="7" t="s">
        <v>44</v>
      </c>
      <c r="I22" s="8" t="n">
        <v>16384</v>
      </c>
    </row>
    <row r="23" customFormat="false" ht="15" hidden="false" customHeight="false" outlineLevel="0" collapsed="false">
      <c r="A23" s="7" t="s">
        <v>45</v>
      </c>
      <c r="B23" s="26" t="str">
        <f aca="false">IF(Poisson_Table!B$204&lt;B9,"EXTEND TABLE","OK")</f>
        <v>OK</v>
      </c>
      <c r="C23" s="26" t="str">
        <f aca="false">IF(Poisson_Table!C$204&lt;C9,"EXTEND TABLE","OK")</f>
        <v>OK</v>
      </c>
      <c r="D23" s="26" t="str">
        <f aca="false">IF(Poisson_Table!D$204&lt;D9,"EXTEND TABLE","OK")</f>
        <v>OK</v>
      </c>
      <c r="E23" s="26" t="str">
        <f aca="false">IF(Poisson_Table!E$204&lt;E9,"EXTEND TABLE","OK")</f>
        <v>OK</v>
      </c>
      <c r="H23" s="7" t="s">
        <v>46</v>
      </c>
      <c r="I23" s="14" t="n">
        <v>54</v>
      </c>
    </row>
    <row r="24" customFormat="false" ht="15" hidden="false" customHeight="false" outlineLevel="0" collapsed="false">
      <c r="H24" s="7" t="s">
        <v>47</v>
      </c>
      <c r="I24" s="12" t="n">
        <f aca="false">(I20+I21)/I22*365/I23</f>
        <v>0.0907615379050926</v>
      </c>
    </row>
    <row r="25" customFormat="false" ht="15" hidden="false" customHeight="false" outlineLevel="0" collapsed="false">
      <c r="A25" s="3" t="s">
        <v>48</v>
      </c>
      <c r="B25" s="3"/>
      <c r="C25" s="3"/>
      <c r="D25" s="3"/>
      <c r="E25" s="3"/>
      <c r="F25" s="3"/>
      <c r="H25" s="2" t="s">
        <v>49</v>
      </c>
    </row>
    <row r="26" customFormat="false" ht="15" hidden="false" customHeight="false" outlineLevel="0" collapsed="false">
      <c r="A26" s="7" t="s">
        <v>50</v>
      </c>
      <c r="B26" s="27" t="n">
        <f aca="false">NORMSINV(B9)</f>
        <v>1.64485362695147</v>
      </c>
      <c r="C26" s="27" t="n">
        <f aca="false">NORMSINV(C9)</f>
        <v>1.64485362695147</v>
      </c>
      <c r="D26" s="27" t="n">
        <f aca="false">NORMSINV(D9)</f>
        <v>1.64485362695147</v>
      </c>
      <c r="E26" s="27" t="n">
        <f aca="false">NORMSINV(E9)</f>
        <v>1.64485362695147</v>
      </c>
      <c r="H26" s="28" t="s">
        <v>51</v>
      </c>
    </row>
    <row r="27" customFormat="false" ht="15" hidden="false" customHeight="false" outlineLevel="0" collapsed="false">
      <c r="A27" s="7" t="s">
        <v>52</v>
      </c>
      <c r="B27" s="20" t="n">
        <f aca="false">MAX(1,ROUNDUP(B16+B26*SQRT(B16),0)+1)</f>
        <v>5</v>
      </c>
      <c r="C27" s="20" t="n">
        <f aca="false">MAX(1,ROUNDUP(C16+C26*SQRT(C16),0)+1)</f>
        <v>4</v>
      </c>
      <c r="D27" s="20" t="n">
        <f aca="false">MAX(1,ROUNDUP(D16+D26*SQRT(D16),0)+1)</f>
        <v>12</v>
      </c>
      <c r="E27" s="20" t="n">
        <f aca="false">MAX(1,ROUNDUP(E16+E26*SQRT(E16),0)+1)</f>
        <v>22</v>
      </c>
    </row>
    <row r="28" customFormat="false" ht="15" hidden="false" customHeight="false" outlineLevel="0" collapsed="false">
      <c r="A28" s="7" t="s">
        <v>37</v>
      </c>
      <c r="B28" s="18" t="n">
        <f aca="false">B27-B16</f>
        <v>3.43076923076923</v>
      </c>
      <c r="C28" s="18" t="n">
        <f aca="false">C27-C16</f>
        <v>2.93123586565471</v>
      </c>
      <c r="D28" s="18" t="n">
        <f aca="false">D27-D16</f>
        <v>5.84615384615385</v>
      </c>
      <c r="E28" s="18" t="n">
        <f aca="false">E27-E16</f>
        <v>7.70156695156695</v>
      </c>
      <c r="F28" s="19" t="n">
        <f aca="false">SUM(B28:E28)</f>
        <v>19.9097258941447</v>
      </c>
    </row>
    <row r="29" customFormat="false" ht="15" hidden="false" customHeight="false" outlineLevel="0" collapsed="false">
      <c r="A29" s="7" t="s">
        <v>39</v>
      </c>
      <c r="B29" s="23" t="n">
        <f aca="false">B27*B10</f>
        <v>5399.95</v>
      </c>
      <c r="C29" s="23" t="n">
        <f aca="false">C27*C10</f>
        <v>2124.64</v>
      </c>
      <c r="D29" s="23" t="n">
        <f aca="false">D27*D10</f>
        <v>11028</v>
      </c>
      <c r="E29" s="23" t="n">
        <f aca="false">E27*E10</f>
        <v>492250</v>
      </c>
      <c r="F29" s="24" t="n">
        <f aca="false">SUM(B29:E29)</f>
        <v>510802.59</v>
      </c>
    </row>
    <row r="30" customFormat="false" ht="15" hidden="false" customHeight="false" outlineLevel="0" collapsed="false">
      <c r="A30" s="7" t="s">
        <v>53</v>
      </c>
      <c r="B30" s="25" t="n">
        <f aca="false">POISSON(B27-1,B16,TRUE())</f>
        <v>0.977975107947608</v>
      </c>
      <c r="C30" s="25" t="n">
        <f aca="false">POISSON(C27-1,C16,TRUE())</f>
        <v>0.976502676093756</v>
      </c>
      <c r="D30" s="25" t="n">
        <f aca="false">POISSON(D27-1,D16,TRUE())</f>
        <v>0.976214593816763</v>
      </c>
      <c r="E30" s="25" t="n">
        <f aca="false">POISSON(E27-1,E16,TRUE())</f>
        <v>0.965030110192868</v>
      </c>
    </row>
    <row r="32" customFormat="false" ht="15" hidden="false" customHeight="false" outlineLevel="0" collapsed="false">
      <c r="A32" s="3" t="s">
        <v>54</v>
      </c>
      <c r="B32" s="3"/>
      <c r="C32" s="3"/>
      <c r="D32" s="3"/>
      <c r="E32" s="3"/>
      <c r="F32" s="3"/>
    </row>
    <row r="33" customFormat="false" ht="15" hidden="false" customHeight="false" outlineLevel="0" collapsed="false">
      <c r="A33" s="7" t="s">
        <v>55</v>
      </c>
      <c r="B33" s="29" t="n">
        <f aca="false">B17-B27</f>
        <v>0</v>
      </c>
      <c r="C33" s="29" t="n">
        <f aca="false">C17-C27</f>
        <v>0</v>
      </c>
      <c r="D33" s="29" t="n">
        <f aca="false">D17-D27</f>
        <v>-1</v>
      </c>
      <c r="E33" s="29" t="n">
        <f aca="false">E17-E27</f>
        <v>0</v>
      </c>
      <c r="F33" s="30" t="n">
        <f aca="false">SUM(B33:E33)</f>
        <v>-1</v>
      </c>
    </row>
    <row r="34" customFormat="false" ht="15" hidden="false" customHeight="false" outlineLevel="0" collapsed="false">
      <c r="A34" s="7" t="s">
        <v>56</v>
      </c>
      <c r="B34" s="31" t="n">
        <f aca="false">B20-B29</f>
        <v>0</v>
      </c>
      <c r="C34" s="31" t="n">
        <f aca="false">C20-C29</f>
        <v>0</v>
      </c>
      <c r="D34" s="31" t="n">
        <f aca="false">D20-D29</f>
        <v>-919</v>
      </c>
      <c r="E34" s="31" t="n">
        <f aca="false">E20-E29</f>
        <v>0</v>
      </c>
      <c r="F34" s="32" t="n">
        <f aca="false">SUM(B34:E34)</f>
        <v>-919</v>
      </c>
    </row>
    <row r="35" customFormat="false" ht="15" hidden="false" customHeight="false" outlineLevel="0" collapsed="false">
      <c r="A35" s="7" t="s">
        <v>57</v>
      </c>
      <c r="B35" s="26" t="str">
        <f aca="false">IF(B30&lt;B9,"YES - normal understocks","No")</f>
        <v>No</v>
      </c>
      <c r="C35" s="26" t="str">
        <f aca="false">IF(C30&lt;C9,"YES - normal understocks","No")</f>
        <v>No</v>
      </c>
      <c r="D35" s="26" t="str">
        <f aca="false">IF(D30&lt;D9,"YES - normal understocks","No")</f>
        <v>No</v>
      </c>
      <c r="E35" s="26" t="str">
        <f aca="false">IF(E30&lt;E9,"YES - normal understocks","No")</f>
        <v>No</v>
      </c>
    </row>
    <row r="37" customFormat="false" ht="15" hidden="false" customHeight="false" outlineLevel="0" collapsed="false">
      <c r="A37" s="3" t="s">
        <v>58</v>
      </c>
      <c r="B37" s="3"/>
      <c r="C37" s="3"/>
      <c r="D37" s="3"/>
      <c r="E37" s="3"/>
      <c r="F37" s="3"/>
    </row>
    <row r="38" customFormat="false" ht="15" hidden="false" customHeight="false" outlineLevel="0" collapsed="false">
      <c r="A38" s="33" t="s">
        <v>59</v>
      </c>
      <c r="B38" s="33" t="s">
        <v>12</v>
      </c>
      <c r="C38" s="33" t="s">
        <v>60</v>
      </c>
      <c r="D38" s="33" t="s">
        <v>61</v>
      </c>
    </row>
    <row r="39" customFormat="false" ht="15" hidden="false" customHeight="false" outlineLevel="0" collapsed="false">
      <c r="A39" s="7" t="s">
        <v>62</v>
      </c>
      <c r="B39" s="16" t="n">
        <f aca="false">$I$7</f>
        <v>919</v>
      </c>
      <c r="C39" s="16" t="n">
        <f aca="false">$I$8</f>
        <v>4141.54</v>
      </c>
      <c r="D39" s="16" t="n">
        <f aca="false">C39-B39</f>
        <v>3222.54</v>
      </c>
    </row>
    <row r="40" customFormat="false" ht="15" hidden="false" customHeight="false" outlineLevel="0" collapsed="false">
      <c r="A40" s="7" t="s">
        <v>63</v>
      </c>
      <c r="B40" s="16" t="n">
        <f aca="false">$D$17*B39</f>
        <v>10109</v>
      </c>
      <c r="C40" s="16" t="n">
        <f aca="false">$D$17*C39</f>
        <v>45556.94</v>
      </c>
      <c r="D40" s="16" t="n">
        <f aca="false">C40-B40</f>
        <v>35447.94</v>
      </c>
    </row>
    <row r="41" customFormat="false" ht="15" hidden="false" customHeight="false" outlineLevel="0" collapsed="false">
      <c r="A41" s="7" t="s">
        <v>64</v>
      </c>
      <c r="B41" s="16" t="n">
        <f aca="false">$B$20+B40</f>
        <v>15508.95</v>
      </c>
      <c r="C41" s="16" t="n">
        <f aca="false">$B$20+C40</f>
        <v>50956.89</v>
      </c>
      <c r="D41" s="16" t="n">
        <f aca="false">C41-B41</f>
        <v>35447.94</v>
      </c>
    </row>
    <row r="42" customFormat="false" ht="15" hidden="false" customHeight="false" outlineLevel="0" collapsed="false">
      <c r="A42" s="7" t="s">
        <v>65</v>
      </c>
      <c r="B42" s="16" t="n">
        <f aca="false">$B$20+$C$20+$E$20+B40</f>
        <v>509883.59</v>
      </c>
      <c r="C42" s="16" t="n">
        <f aca="false">$B$20+$C$20+$E$20+C40</f>
        <v>545331.53</v>
      </c>
      <c r="D42" s="16" t="n">
        <f aca="false">C42-B42</f>
        <v>35447.94</v>
      </c>
    </row>
    <row r="44" customFormat="false" ht="15" hidden="false" customHeight="false" outlineLevel="0" collapsed="false">
      <c r="A44" s="3" t="s">
        <v>66</v>
      </c>
      <c r="B44" s="3"/>
      <c r="C44" s="3"/>
      <c r="D44" s="3"/>
      <c r="E44" s="3"/>
      <c r="F44" s="3"/>
    </row>
    <row r="45" customFormat="false" ht="15" hidden="false" customHeight="false" outlineLevel="0" collapsed="false">
      <c r="A45" s="33" t="s">
        <v>67</v>
      </c>
      <c r="B45" s="33" t="s">
        <v>68</v>
      </c>
      <c r="C45" s="33" t="s">
        <v>69</v>
      </c>
      <c r="D45" s="33" t="s">
        <v>70</v>
      </c>
      <c r="E45" s="33" t="s">
        <v>71</v>
      </c>
      <c r="F45" s="33" t="s">
        <v>72</v>
      </c>
      <c r="G45" s="33" t="s">
        <v>73</v>
      </c>
    </row>
    <row r="46" customFormat="false" ht="15" hidden="false" customHeight="false" outlineLevel="0" collapsed="false">
      <c r="A46" s="7" t="s">
        <v>74</v>
      </c>
      <c r="B46" s="15" t="n">
        <v>0.01</v>
      </c>
      <c r="C46" s="34" t="n">
        <f aca="false">$D$6*B46*$D$8/$B$12</f>
        <v>3.07692307692308</v>
      </c>
      <c r="D46" s="35" t="n">
        <f aca="false">COUNTIF(Poisson_Table!H$4:H$204,"&lt;"&amp;$D$9)+1</f>
        <v>7</v>
      </c>
      <c r="E46" s="36" t="n">
        <f aca="false">POISSON(D46-1,C46,TRUE())</f>
        <v>0.962463444281224</v>
      </c>
      <c r="F46" s="37" t="n">
        <f aca="false">D46*$I$7</f>
        <v>6433</v>
      </c>
      <c r="G46" s="37" t="n">
        <f aca="false">D46*$I$8</f>
        <v>28990.78</v>
      </c>
    </row>
    <row r="47" customFormat="false" ht="15" hidden="false" customHeight="false" outlineLevel="0" collapsed="false">
      <c r="A47" s="7" t="s">
        <v>75</v>
      </c>
      <c r="B47" s="15" t="n">
        <v>0.02</v>
      </c>
      <c r="C47" s="34" t="n">
        <f aca="false">$D$6*B47*$D$8/$B$12</f>
        <v>6.15384615384615</v>
      </c>
      <c r="D47" s="35" t="n">
        <f aca="false">COUNTIF(Poisson_Table!I$4:I$204,"&lt;"&amp;$D$9)+1</f>
        <v>11</v>
      </c>
      <c r="E47" s="36" t="n">
        <f aca="false">POISSON(D47-1,C47,TRUE())</f>
        <v>0.950694877849686</v>
      </c>
      <c r="F47" s="37" t="n">
        <f aca="false">D47*$I$7</f>
        <v>10109</v>
      </c>
      <c r="G47" s="37" t="n">
        <f aca="false">D47*$I$8</f>
        <v>45556.94</v>
      </c>
    </row>
    <row r="48" customFormat="false" ht="15" hidden="false" customHeight="false" outlineLevel="0" collapsed="false">
      <c r="A48" s="7" t="s">
        <v>76</v>
      </c>
      <c r="B48" s="15" t="n">
        <v>0.04</v>
      </c>
      <c r="C48" s="34" t="n">
        <f aca="false">$D$6*B48*$D$8/$B$12</f>
        <v>12.3076923076923</v>
      </c>
      <c r="D48" s="35" t="n">
        <f aca="false">COUNTIF(Poisson_Table!J$4:J$204,"&lt;"&amp;$D$9)+1</f>
        <v>19</v>
      </c>
      <c r="E48" s="36" t="n">
        <f aca="false">POISSON(D48-1,C48,TRUE())</f>
        <v>0.95410221800808</v>
      </c>
      <c r="F48" s="37" t="n">
        <f aca="false">D48*$I$7</f>
        <v>17461</v>
      </c>
      <c r="G48" s="37" t="n">
        <f aca="false">D48*$I$8</f>
        <v>78689.26</v>
      </c>
    </row>
    <row r="49" customFormat="false" ht="15" hidden="false" customHeight="false" outlineLevel="0" collapsed="false">
      <c r="A49" s="2" t="s">
        <v>77</v>
      </c>
    </row>
    <row r="51" customFormat="false" ht="15" hidden="false" customHeight="false" outlineLevel="0" collapsed="false">
      <c r="A51" s="3" t="s">
        <v>78</v>
      </c>
      <c r="B51" s="3"/>
      <c r="C51" s="3"/>
      <c r="D51" s="3"/>
      <c r="E51" s="3"/>
      <c r="F51" s="3"/>
      <c r="G51" s="6"/>
      <c r="H51" s="6"/>
      <c r="I51" s="6"/>
    </row>
    <row r="52" customFormat="false" ht="15" hidden="false" customHeight="false" outlineLevel="0" collapsed="false">
      <c r="A52" s="33" t="s">
        <v>67</v>
      </c>
      <c r="B52" s="33" t="s">
        <v>79</v>
      </c>
      <c r="C52" s="33" t="s">
        <v>80</v>
      </c>
      <c r="D52" s="33" t="s">
        <v>81</v>
      </c>
      <c r="E52" s="33" t="s">
        <v>82</v>
      </c>
      <c r="F52" s="33" t="s">
        <v>83</v>
      </c>
      <c r="G52" s="33" t="s">
        <v>84</v>
      </c>
      <c r="H52" s="33" t="s">
        <v>85</v>
      </c>
      <c r="I52" s="33" t="s">
        <v>86</v>
      </c>
    </row>
    <row r="53" customFormat="false" ht="15" hidden="false" customHeight="false" outlineLevel="0" collapsed="false">
      <c r="A53" s="7" t="s">
        <v>74</v>
      </c>
      <c r="B53" s="11" t="n">
        <v>0.02</v>
      </c>
      <c r="C53" s="34" t="n">
        <f aca="false">$I$16*B53*$E$8/$B$12</f>
        <v>3.15076923076923</v>
      </c>
      <c r="D53" s="35" t="n">
        <f aca="false">COUNTIF(Poisson_Table!K$4:K$204,"&lt;"&amp;$E$9)+1</f>
        <v>7</v>
      </c>
      <c r="E53" s="37" t="n">
        <f aca="false">D53*$I$19/$I$18</f>
        <v>156625</v>
      </c>
      <c r="F53" s="12" t="n">
        <f aca="false">1-(1-B53)^$I$18</f>
        <v>0.149236977418215</v>
      </c>
      <c r="G53" s="34" t="n">
        <f aca="false">$I$16/$I$18*F53*$E$8/$B$12</f>
        <v>2.93882047838946</v>
      </c>
      <c r="H53" s="35" t="n">
        <f aca="false">COUNTIF(Poisson_Table!N$4:N$204,"&lt;"&amp;$E$9)+1</f>
        <v>7</v>
      </c>
      <c r="I53" s="37" t="n">
        <f aca="false">H53*$I$19</f>
        <v>1253000</v>
      </c>
    </row>
    <row r="54" customFormat="false" ht="15" hidden="false" customHeight="false" outlineLevel="0" collapsed="false">
      <c r="A54" s="7" t="s">
        <v>75</v>
      </c>
      <c r="B54" s="11" t="n">
        <v>0.05</v>
      </c>
      <c r="C54" s="34" t="n">
        <f aca="false">$I$16*B54*$E$8/$B$12</f>
        <v>7.87692307692308</v>
      </c>
      <c r="D54" s="35" t="n">
        <f aca="false">COUNTIF(Poisson_Table!L$4:L$204,"&lt;"&amp;$E$9)+1</f>
        <v>14</v>
      </c>
      <c r="E54" s="37" t="n">
        <f aca="false">D54*$I$19/$I$18</f>
        <v>313250</v>
      </c>
      <c r="F54" s="12" t="n">
        <f aca="false">1-(1-B54)^$I$18</f>
        <v>0.336579568710938</v>
      </c>
      <c r="G54" s="34" t="n">
        <f aca="false">$I$16/$I$18*F54*$E$8/$B$12</f>
        <v>6.62802843000001</v>
      </c>
      <c r="H54" s="35" t="n">
        <f aca="false">COUNTIF(Poisson_Table!O$4:O$204,"&lt;"&amp;$E$9)+1</f>
        <v>12</v>
      </c>
      <c r="I54" s="37" t="n">
        <f aca="false">H54*$I$19</f>
        <v>2148000</v>
      </c>
    </row>
    <row r="55" customFormat="false" ht="15" hidden="false" customHeight="false" outlineLevel="0" collapsed="false">
      <c r="A55" s="7" t="s">
        <v>87</v>
      </c>
      <c r="B55" s="12" t="n">
        <f aca="false">$I$24</f>
        <v>0.0907615379050926</v>
      </c>
      <c r="C55" s="34" t="n">
        <f aca="false">$I$16*B55*$E$8/$B$12</f>
        <v>14.298433048433</v>
      </c>
      <c r="D55" s="35" t="n">
        <f aca="false">COUNTIF(Poisson_Table!M$4:M$204,"&lt;"&amp;$E$9)+1</f>
        <v>22</v>
      </c>
      <c r="E55" s="37" t="n">
        <f aca="false">D55*$I$19/$I$18</f>
        <v>492250</v>
      </c>
      <c r="F55" s="12" t="n">
        <f aca="false">1-(1-B55)^$I$18</f>
        <v>0.532886531392987</v>
      </c>
      <c r="G55" s="34" t="n">
        <f aca="false">$I$16/$I$18*F55*$E$8/$B$12</f>
        <v>10.4937655412773</v>
      </c>
      <c r="H55" s="35" t="n">
        <f aca="false">COUNTIF(Poisson_Table!P$4:P$204,"&lt;"&amp;$E$9)+1</f>
        <v>17</v>
      </c>
      <c r="I55" s="37" t="n">
        <f aca="false">H55*$I$19</f>
        <v>3043000</v>
      </c>
    </row>
    <row r="56" customFormat="false" ht="15" hidden="false" customHeight="false" outlineLevel="0" collapsed="false">
      <c r="A56" s="38" t="s">
        <v>88</v>
      </c>
      <c r="B56" s="39" t="n">
        <f aca="false">I55/E55</f>
        <v>6.18181818181818</v>
      </c>
    </row>
    <row r="57" customFormat="false" ht="15" hidden="false" customHeight="false" outlineLevel="0" collapsed="false">
      <c r="A57" s="2" t="s">
        <v>89</v>
      </c>
    </row>
  </sheetData>
  <dataValidations count="2">
    <dataValidation allowBlank="false" errorStyle="stop" operator="between" showDropDown="false" showErrorMessage="false" showInputMessage="false" sqref="I6" type="list">
      <formula1>"Generic,Branded"</formula1>
      <formula2>0</formula2>
    </dataValidation>
    <dataValidation allowBlank="false" errorStyle="stop" operator="between" showDropDown="false" showErrorMessage="false" showInputMessage="false" sqref="I17" type="list">
      <formula1>"Module,Board"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0"/>
  </cols>
  <sheetData>
    <row r="1" customFormat="false" ht="15" hidden="false" customHeight="false" outlineLevel="0" collapsed="false">
      <c r="A1" s="40" t="s">
        <v>90</v>
      </c>
    </row>
    <row r="2" customFormat="false" ht="15" hidden="false" customHeight="false" outlineLevel="0" collapsed="false">
      <c r="A2" s="41" t="s">
        <v>91</v>
      </c>
    </row>
    <row r="3" customFormat="false" ht="15" hidden="false" customHeight="false" outlineLevel="0" collapsed="false">
      <c r="A3" s="41" t="s">
        <v>92</v>
      </c>
    </row>
    <row r="4" customFormat="false" ht="15" hidden="false" customHeight="false" outlineLevel="0" collapsed="false">
      <c r="A4" s="41" t="s">
        <v>93</v>
      </c>
    </row>
    <row r="5" customFormat="false" ht="15" hidden="false" customHeight="false" outlineLevel="0" collapsed="false">
      <c r="A5" s="41"/>
    </row>
    <row r="6" customFormat="false" ht="15" hidden="false" customHeight="false" outlineLevel="0" collapsed="false">
      <c r="A6" s="40" t="s">
        <v>94</v>
      </c>
    </row>
    <row r="7" customFormat="false" ht="15" hidden="false" customHeight="false" outlineLevel="0" collapsed="false">
      <c r="A7" s="41" t="s">
        <v>95</v>
      </c>
    </row>
    <row r="8" customFormat="false" ht="15" hidden="false" customHeight="false" outlineLevel="0" collapsed="false">
      <c r="A8" s="41" t="s">
        <v>96</v>
      </c>
    </row>
    <row r="9" customFormat="false" ht="15" hidden="false" customHeight="false" outlineLevel="0" collapsed="false">
      <c r="A9" s="41" t="s">
        <v>97</v>
      </c>
    </row>
    <row r="10" customFormat="false" ht="15" hidden="false" customHeight="false" outlineLevel="0" collapsed="false">
      <c r="A10" s="41" t="s">
        <v>98</v>
      </c>
    </row>
    <row r="11" customFormat="false" ht="15" hidden="false" customHeight="false" outlineLevel="0" collapsed="false">
      <c r="A11" s="41"/>
    </row>
    <row r="12" customFormat="false" ht="15" hidden="false" customHeight="false" outlineLevel="0" collapsed="false">
      <c r="A12" s="40" t="s">
        <v>99</v>
      </c>
    </row>
    <row r="13" customFormat="false" ht="15" hidden="false" customHeight="false" outlineLevel="0" collapsed="false">
      <c r="A13" s="41" t="s">
        <v>100</v>
      </c>
    </row>
    <row r="14" customFormat="false" ht="23.85" hidden="false" customHeight="false" outlineLevel="0" collapsed="false">
      <c r="A14" s="41" t="s">
        <v>101</v>
      </c>
    </row>
    <row r="15" customFormat="false" ht="15" hidden="false" customHeight="false" outlineLevel="0" collapsed="false">
      <c r="A15" s="41" t="s">
        <v>102</v>
      </c>
    </row>
    <row r="16" customFormat="false" ht="15" hidden="false" customHeight="false" outlineLevel="0" collapsed="false">
      <c r="A16" s="41"/>
    </row>
    <row r="17" customFormat="false" ht="15" hidden="false" customHeight="false" outlineLevel="0" collapsed="false">
      <c r="A17" s="40" t="s">
        <v>103</v>
      </c>
    </row>
    <row r="18" customFormat="false" ht="23.85" hidden="false" customHeight="false" outlineLevel="0" collapsed="false">
      <c r="A18" s="41" t="s">
        <v>104</v>
      </c>
    </row>
    <row r="19" customFormat="false" ht="23.85" hidden="false" customHeight="false" outlineLevel="0" collapsed="false">
      <c r="A19" s="41" t="s">
        <v>105</v>
      </c>
    </row>
    <row r="20" customFormat="false" ht="15" hidden="false" customHeight="false" outlineLevel="0" collapsed="false">
      <c r="A20" s="41" t="s">
        <v>106</v>
      </c>
    </row>
    <row r="21" customFormat="false" ht="15" hidden="false" customHeight="false" outlineLevel="0" collapsed="false">
      <c r="A21" s="41" t="s">
        <v>107</v>
      </c>
    </row>
    <row r="22" customFormat="false" ht="23.85" hidden="false" customHeight="false" outlineLevel="0" collapsed="false">
      <c r="A22" s="41" t="s">
        <v>108</v>
      </c>
    </row>
    <row r="23" customFormat="false" ht="23.85" hidden="false" customHeight="false" outlineLevel="0" collapsed="false">
      <c r="A23" s="41" t="s">
        <v>109</v>
      </c>
    </row>
    <row r="24" customFormat="false" ht="15" hidden="false" customHeight="false" outlineLevel="0" collapsed="false">
      <c r="A24" s="41" t="s">
        <v>110</v>
      </c>
    </row>
    <row r="25" customFormat="false" ht="15" hidden="false" customHeight="false" outlineLevel="0" collapsed="false">
      <c r="A25" s="41"/>
    </row>
    <row r="26" customFormat="false" ht="15" hidden="false" customHeight="false" outlineLevel="0" collapsed="false">
      <c r="A26" s="40" t="s">
        <v>111</v>
      </c>
    </row>
    <row r="27" customFormat="false" ht="15" hidden="false" customHeight="false" outlineLevel="0" collapsed="false">
      <c r="A27" s="41" t="s">
        <v>112</v>
      </c>
    </row>
    <row r="28" customFormat="false" ht="15" hidden="false" customHeight="false" outlineLevel="0" collapsed="false">
      <c r="A28" s="41" t="s">
        <v>113</v>
      </c>
    </row>
    <row r="29" customFormat="false" ht="15" hidden="false" customHeight="false" outlineLevel="0" collapsed="false">
      <c r="A29" s="41" t="s">
        <v>114</v>
      </c>
    </row>
    <row r="30" customFormat="false" ht="15" hidden="false" customHeight="false" outlineLevel="0" collapsed="false">
      <c r="A30" s="41" t="s">
        <v>115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P20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sheetData>
    <row r="1" customFormat="false" ht="15" hidden="false" customHeight="false" outlineLevel="0" collapsed="false">
      <c r="A1" s="42" t="s">
        <v>116</v>
      </c>
    </row>
    <row r="2" customFormat="false" ht="15" hidden="false" customHeight="false" outlineLevel="0" collapsed="false">
      <c r="A2" s="2" t="s">
        <v>117</v>
      </c>
    </row>
    <row r="3" customFormat="false" ht="15" hidden="false" customHeight="false" outlineLevel="0" collapsed="false">
      <c r="A3" s="38" t="s">
        <v>118</v>
      </c>
      <c r="B3" s="38" t="s">
        <v>119</v>
      </c>
      <c r="C3" s="38" t="s">
        <v>5</v>
      </c>
      <c r="D3" s="38" t="s">
        <v>120</v>
      </c>
      <c r="E3" s="38" t="s">
        <v>121</v>
      </c>
      <c r="H3" s="38" t="s">
        <v>122</v>
      </c>
      <c r="I3" s="38" t="s">
        <v>123</v>
      </c>
      <c r="J3" s="38" t="s">
        <v>124</v>
      </c>
      <c r="K3" s="38" t="s">
        <v>125</v>
      </c>
      <c r="L3" s="38" t="s">
        <v>126</v>
      </c>
      <c r="M3" s="38" t="s">
        <v>127</v>
      </c>
      <c r="N3" s="38" t="s">
        <v>128</v>
      </c>
      <c r="O3" s="38" t="s">
        <v>129</v>
      </c>
      <c r="P3" s="38" t="s">
        <v>130</v>
      </c>
    </row>
    <row r="4" customFormat="false" ht="15" hidden="false" customHeight="false" outlineLevel="0" collapsed="false">
      <c r="A4" s="7" t="n">
        <v>0</v>
      </c>
      <c r="B4" s="43" t="n">
        <f aca="false">POISSON($A4,Model!B$16,TRUE())</f>
        <v>0.208205278680294</v>
      </c>
      <c r="C4" s="43" t="n">
        <f aca="false">POISSON($A4,Model!C$16,TRUE())</f>
        <v>0.343432691922018</v>
      </c>
      <c r="D4" s="43" t="n">
        <f aca="false">POISSON($A4,Model!D$16,TRUE())</f>
        <v>0.00212529183090121</v>
      </c>
      <c r="E4" s="43" t="n">
        <f aca="false">POISSON($A4,Model!E$16,TRUE())</f>
        <v>6.16977643168178E-007</v>
      </c>
      <c r="H4" s="43" t="n">
        <f aca="false">POISSON($A4,Model!$C$46,TRUE())</f>
        <v>0.046100887528346</v>
      </c>
      <c r="I4" s="43" t="n">
        <f aca="false">POISSON($A4,Model!$C$47,TRUE())</f>
        <v>0.00212529183090121</v>
      </c>
      <c r="J4" s="43" t="n">
        <f aca="false">POISSON($A4,Model!$C$48,TRUE())</f>
        <v>4.51686536649542E-006</v>
      </c>
      <c r="K4" s="43" t="n">
        <f aca="false">POISSON($A4,Model!$C$53,TRUE())</f>
        <v>0.0428191763674209</v>
      </c>
      <c r="L4" s="43" t="n">
        <f aca="false">POISSON($A4,Model!$C$54,TRUE())</f>
        <v>0.00037939864309361</v>
      </c>
      <c r="M4" s="43" t="n">
        <f aca="false">POISSON($A4,Model!$C$55,TRUE())</f>
        <v>6.16977643168178E-007</v>
      </c>
      <c r="N4" s="43" t="n">
        <f aca="false">POISSON($A4,Model!$G$53,TRUE())</f>
        <v>0.0529281217976015</v>
      </c>
      <c r="O4" s="43" t="n">
        <f aca="false">POISSON($A4,Model!$G$54,TRUE())</f>
        <v>0.00132276844743827</v>
      </c>
      <c r="P4" s="43" t="n">
        <f aca="false">POISSON($A4,Model!$G$55,TRUE())</f>
        <v>2.77086604703519E-005</v>
      </c>
    </row>
    <row r="5" customFormat="false" ht="15" hidden="false" customHeight="false" outlineLevel="0" collapsed="false">
      <c r="A5" s="7" t="n">
        <v>1</v>
      </c>
      <c r="B5" s="43" t="n">
        <f aca="false">POISSON($A5,Model!B$16,TRUE())</f>
        <v>0.534927408301679</v>
      </c>
      <c r="C5" s="43" t="n">
        <f aca="false">POISSON($A5,Model!C$16,TRUE())</f>
        <v>0.710481235609927</v>
      </c>
      <c r="D5" s="43" t="n">
        <f aca="false">POISSON($A5,Model!D$16,TRUE())</f>
        <v>0.0152040107902933</v>
      </c>
      <c r="E5" s="43" t="n">
        <f aca="false">POISSON($A5,Model!E$16,TRUE())</f>
        <v>9.43879116638839E-006</v>
      </c>
      <c r="H5" s="43" t="n">
        <f aca="false">POISSON($A5,Model!$C$46,TRUE())</f>
        <v>0.187949772230949</v>
      </c>
      <c r="I5" s="43" t="n">
        <f aca="false">POISSON($A5,Model!$C$47,TRUE())</f>
        <v>0.0152040107902933</v>
      </c>
      <c r="J5" s="43" t="n">
        <f aca="false">POISSON($A5,Model!$C$48,TRUE())</f>
        <v>6.01090544925928E-005</v>
      </c>
      <c r="K5" s="43" t="n">
        <f aca="false">POISSON($A5,Model!$C$53,TRUE())</f>
        <v>0.177732519752772</v>
      </c>
      <c r="L5" s="43" t="n">
        <f aca="false">POISSON($A5,Model!$C$54,TRUE())</f>
        <v>0.00336789257023097</v>
      </c>
      <c r="M5" s="43" t="n">
        <f aca="false">POISSON($A5,Model!$C$55,TRUE())</f>
        <v>9.43879116638839E-006</v>
      </c>
      <c r="N5" s="43" t="n">
        <f aca="false">POISSON($A5,Model!$G$53,TRUE())</f>
        <v>0.208474370019084</v>
      </c>
      <c r="O5" s="43" t="n">
        <f aca="false">POISSON($A5,Model!$G$54,TRUE())</f>
        <v>0.0100901153233661</v>
      </c>
      <c r="P5" s="43" t="n">
        <f aca="false">POISSON($A5,Model!$G$55,TRUE())</f>
        <v>0.000318476846909082</v>
      </c>
    </row>
    <row r="6" customFormat="false" ht="15" hidden="false" customHeight="false" outlineLevel="0" collapsed="false">
      <c r="A6" s="7" t="n">
        <v>2</v>
      </c>
      <c r="B6" s="43" t="n">
        <f aca="false">POISSON($A6,Model!B$16,TRUE())</f>
        <v>0.79127861769692</v>
      </c>
      <c r="C6" s="43" t="n">
        <f aca="false">POISSON($A6,Model!C$16,TRUE())</f>
        <v>0.906625395138581</v>
      </c>
      <c r="D6" s="43" t="n">
        <f aca="false">POISSON($A6,Model!D$16,TRUE())</f>
        <v>0.0554462229730381</v>
      </c>
      <c r="E6" s="43" t="n">
        <f aca="false">POISSON($A6,Model!E$16,TRUE())</f>
        <v>7.25078461801511E-005</v>
      </c>
      <c r="H6" s="43" t="n">
        <f aca="false">POISSON($A6,Model!$C$46,TRUE())</f>
        <v>0.406178825619569</v>
      </c>
      <c r="I6" s="43" t="n">
        <f aca="false">POISSON($A6,Model!$C$47,TRUE())</f>
        <v>0.0554462229730381</v>
      </c>
      <c r="J6" s="43" t="n">
        <f aca="false">POISSON($A6,Model!$C$48,TRUE())</f>
        <v>0.000402214833730115</v>
      </c>
      <c r="K6" s="43" t="n">
        <f aca="false">POISSON($A6,Model!$C$53,TRUE())</f>
        <v>0.390272925332155</v>
      </c>
      <c r="L6" s="43" t="n">
        <f aca="false">POISSON($A6,Model!$C$54,TRUE())</f>
        <v>0.0151379609601873</v>
      </c>
      <c r="M6" s="43" t="n">
        <f aca="false">POISSON($A6,Model!$C$55,TRUE())</f>
        <v>7.25078461801511E-005</v>
      </c>
      <c r="N6" s="43" t="n">
        <f aca="false">POISSON($A6,Model!$G$53,TRUE())</f>
        <v>0.437035619824055</v>
      </c>
      <c r="O6" s="43" t="n">
        <f aca="false">POISSON($A6,Model!$G$54,TRUE())</f>
        <v>0.0391452274980267</v>
      </c>
      <c r="P6" s="43" t="n">
        <f aca="false">POISSON($A6,Model!$G$55,TRUE())</f>
        <v>0.0018441034345843</v>
      </c>
    </row>
    <row r="7" customFormat="false" ht="15" hidden="false" customHeight="false" outlineLevel="0" collapsed="false">
      <c r="A7" s="7" t="n">
        <v>3</v>
      </c>
      <c r="B7" s="43" t="n">
        <f aca="false">POISSON($A7,Model!B$16,TRUE())</f>
        <v>0.92537001953443</v>
      </c>
      <c r="C7" s="43" t="n">
        <f aca="false">POISSON($A7,Model!C$16,TRUE())</f>
        <v>0.976502676093756</v>
      </c>
      <c r="D7" s="43" t="n">
        <f aca="false">POISSON($A7,Model!D$16,TRUE())</f>
        <v>0.137994350527386</v>
      </c>
      <c r="E7" s="43" t="n">
        <f aca="false">POISSON($A7,Model!E$16,TRUE())</f>
        <v>0.000373104066360893</v>
      </c>
      <c r="H7" s="43" t="n">
        <f aca="false">POISSON($A7,Model!$C$46,TRUE())</f>
        <v>0.630003495761744</v>
      </c>
      <c r="I7" s="43" t="n">
        <f aca="false">POISSON($A7,Model!$C$47,TRUE())</f>
        <v>0.137994350527386</v>
      </c>
      <c r="J7" s="43" t="n">
        <f aca="false">POISSON($A7,Model!$C$48,TRUE())</f>
        <v>0.0018057257229097</v>
      </c>
      <c r="K7" s="43" t="n">
        <f aca="false">POISSON($A7,Model!$C$53,TRUE())</f>
        <v>0.6134948487304</v>
      </c>
      <c r="L7" s="43" t="n">
        <f aca="false">POISSON($A7,Model!$C$54,TRUE())</f>
        <v>0.0460419353994574</v>
      </c>
      <c r="M7" s="43" t="n">
        <f aca="false">POISSON($A7,Model!$C$55,TRUE())</f>
        <v>0.000373104066360893</v>
      </c>
      <c r="N7" s="43" t="n">
        <f aca="false">POISSON($A7,Model!$G$53,TRUE())</f>
        <v>0.660935780321768</v>
      </c>
      <c r="O7" s="43" t="n">
        <f aca="false">POISSON($A7,Model!$G$54,TRUE())</f>
        <v>0.103337930674857</v>
      </c>
      <c r="P7" s="43" t="n">
        <f aca="false">POISSON($A7,Model!$G$55,TRUE())</f>
        <v>0.0071806260061185</v>
      </c>
    </row>
    <row r="8" customFormat="false" ht="15" hidden="false" customHeight="false" outlineLevel="0" collapsed="false">
      <c r="A8" s="7" t="n">
        <v>4</v>
      </c>
      <c r="B8" s="43" t="n">
        <f aca="false">POISSON($A8,Model!B$16,TRUE())</f>
        <v>0.977975107947608</v>
      </c>
      <c r="C8" s="43" t="n">
        <f aca="false">POISSON($A8,Model!C$16,TRUE())</f>
        <v>0.995173259016371</v>
      </c>
      <c r="D8" s="43" t="n">
        <f aca="false">POISSON($A8,Model!D$16,TRUE())</f>
        <v>0.264991469841768</v>
      </c>
      <c r="E8" s="43" t="n">
        <f aca="false">POISSON($A8,Model!E$16,TRUE())</f>
        <v>0.00144761779857749</v>
      </c>
      <c r="H8" s="43" t="n">
        <f aca="false">POISSON($A8,Model!$C$46,TRUE())</f>
        <v>0.802176318948032</v>
      </c>
      <c r="I8" s="43" t="n">
        <f aca="false">POISSON($A8,Model!$C$47,TRUE())</f>
        <v>0.264991469841768</v>
      </c>
      <c r="J8" s="43" t="n">
        <f aca="false">POISSON($A8,Model!$C$48,TRUE())</f>
        <v>0.00612422076653917</v>
      </c>
      <c r="K8" s="43" t="n">
        <f aca="false">POISSON($A8,Model!$C$53,TRUE())</f>
        <v>0.789325040699479</v>
      </c>
      <c r="L8" s="43" t="n">
        <f aca="false">POISSON($A8,Model!$C$54,TRUE())</f>
        <v>0.106898992756789</v>
      </c>
      <c r="M8" s="43" t="n">
        <f aca="false">POISSON($A8,Model!$C$55,TRUE())</f>
        <v>0.00144761779857749</v>
      </c>
      <c r="N8" s="43" t="n">
        <f aca="false">POISSON($A8,Model!$G$53,TRUE())</f>
        <v>0.825436374518109</v>
      </c>
      <c r="O8" s="43" t="n">
        <f aca="false">POISSON($A8,Model!$G$54,TRUE())</f>
        <v>0.209705696088502</v>
      </c>
      <c r="P8" s="43" t="n">
        <f aca="false">POISSON($A8,Model!$G$55,TRUE())</f>
        <v>0.021180680173972</v>
      </c>
    </row>
    <row r="9" customFormat="false" ht="15" hidden="false" customHeight="false" outlineLevel="0" collapsed="false">
      <c r="A9" s="7" t="n">
        <v>5</v>
      </c>
      <c r="B9" s="43" t="n">
        <f aca="false">POISSON($A9,Model!B$16,TRUE())</f>
        <v>0.99448501261882</v>
      </c>
      <c r="C9" s="43" t="n">
        <f aca="false">POISSON($A9,Model!C$16,TRUE())</f>
        <v>0.999164148895374</v>
      </c>
      <c r="D9" s="43" t="n">
        <f aca="false">POISSON($A9,Model!D$16,TRUE())</f>
        <v>0.421295616690239</v>
      </c>
      <c r="E9" s="43" t="n">
        <f aca="false">POISSON($A9,Model!E$16,TRUE())</f>
        <v>0.00452039033052167</v>
      </c>
      <c r="H9" s="43" t="n">
        <f aca="false">POISSON($A9,Model!$C$46,TRUE())</f>
        <v>0.90812882552421</v>
      </c>
      <c r="I9" s="43" t="n">
        <f aca="false">POISSON($A9,Model!$C$47,TRUE())</f>
        <v>0.421295616690239</v>
      </c>
      <c r="J9" s="43" t="n">
        <f aca="false">POISSON($A9,Model!$C$48,TRUE())</f>
        <v>0.0167543624123963</v>
      </c>
      <c r="K9" s="43" t="n">
        <f aca="false">POISSON($A9,Model!$C$53,TRUE())</f>
        <v>0.900125112438764</v>
      </c>
      <c r="L9" s="43" t="n">
        <f aca="false">POISSON($A9,Model!$C$54,TRUE())</f>
        <v>0.202772264655109</v>
      </c>
      <c r="M9" s="43" t="n">
        <f aca="false">POISSON($A9,Model!$C$55,TRUE())</f>
        <v>0.00452039033052167</v>
      </c>
      <c r="N9" s="43" t="n">
        <f aca="false">POISSON($A9,Model!$G$53,TRUE())</f>
        <v>0.922123917504397</v>
      </c>
      <c r="O9" s="43" t="n">
        <f aca="false">POISSON($A9,Model!$G$54,TRUE())</f>
        <v>0.350707410727944</v>
      </c>
      <c r="P9" s="43" t="n">
        <f aca="false">POISSON($A9,Model!$G$55,TRUE())</f>
        <v>0.0505633373744993</v>
      </c>
    </row>
    <row r="10" customFormat="false" ht="15" hidden="false" customHeight="false" outlineLevel="0" collapsed="false">
      <c r="A10" s="7" t="n">
        <v>6</v>
      </c>
      <c r="B10" s="43" t="n">
        <f aca="false">POISSON($A10,Model!B$16,TRUE())</f>
        <v>0.998802987686676</v>
      </c>
      <c r="C10" s="43" t="n">
        <f aca="false">POISSON($A10,Model!C$16,TRUE())</f>
        <v>0.999875035556507</v>
      </c>
      <c r="D10" s="43" t="n">
        <f aca="false">POISSON($A10,Model!D$16,TRUE())</f>
        <v>0.581607562175849</v>
      </c>
      <c r="E10" s="43" t="n">
        <f aca="false">POISSON($A10,Model!E$16,TRUE())</f>
        <v>0.0118430290506997</v>
      </c>
      <c r="H10" s="43" t="n">
        <f aca="false">POISSON($A10,Model!$C$46,TRUE())</f>
        <v>0.962463444281224</v>
      </c>
      <c r="I10" s="43" t="n">
        <f aca="false">POISSON($A10,Model!$C$47,TRUE())</f>
        <v>0.581607562175849</v>
      </c>
      <c r="J10" s="43" t="n">
        <f aca="false">POISSON($A10,Model!$C$48,TRUE())</f>
        <v>0.038559781173129</v>
      </c>
      <c r="K10" s="43" t="n">
        <f aca="false">POISSON($A10,Model!$C$53,TRUE())</f>
        <v>0.95830935523929</v>
      </c>
      <c r="L10" s="43" t="n">
        <f aca="false">POISSON($A10,Model!$C$54,TRUE())</f>
        <v>0.328636662634441</v>
      </c>
      <c r="M10" s="43" t="n">
        <f aca="false">POISSON($A10,Model!$C$55,TRUE())</f>
        <v>0.0118430290506997</v>
      </c>
      <c r="N10" s="43" t="n">
        <f aca="false">POISSON($A10,Model!$G$53,TRUE())</f>
        <v>0.969481806059941</v>
      </c>
      <c r="O10" s="43" t="n">
        <f aca="false">POISSON($A10,Model!$G$54,TRUE())</f>
        <v>0.506467972946106</v>
      </c>
      <c r="P10" s="43" t="n">
        <f aca="false">POISSON($A10,Model!$G$55,TRUE())</f>
        <v>0.101952456648175</v>
      </c>
    </row>
    <row r="11" customFormat="false" ht="15" hidden="false" customHeight="false" outlineLevel="0" collapsed="false">
      <c r="A11" s="7" t="n">
        <v>7</v>
      </c>
      <c r="B11" s="43" t="n">
        <f aca="false">POISSON($A11,Model!B$16,TRUE())</f>
        <v>0.999770973306283</v>
      </c>
      <c r="C11" s="43" t="n">
        <f aca="false">POISSON($A11,Model!C$16,TRUE())</f>
        <v>0.999983574151793</v>
      </c>
      <c r="D11" s="43" t="n">
        <f aca="false">POISSON($A11,Model!D$16,TRUE())</f>
        <v>0.722541140624737</v>
      </c>
      <c r="E11" s="43" t="n">
        <f aca="false">POISSON($A11,Model!E$16,TRUE())</f>
        <v>0.0268004946904609</v>
      </c>
      <c r="H11" s="43" t="n">
        <f aca="false">POISSON($A11,Model!$C$46,TRUE())</f>
        <v>0.986346793185406</v>
      </c>
      <c r="I11" s="43" t="n">
        <f aca="false">POISSON($A11,Model!$C$47,TRUE())</f>
        <v>0.722541140624737</v>
      </c>
      <c r="J11" s="43" t="n">
        <f aca="false">POISSON($A11,Model!$C$48,TRUE())</f>
        <v>0.0768989789941974</v>
      </c>
      <c r="K11" s="43" t="n">
        <f aca="false">POISSON($A11,Model!$C$53,TRUE())</f>
        <v>0.984498658372363</v>
      </c>
      <c r="L11" s="43" t="n">
        <f aca="false">POISSON($A11,Model!$C$54,TRUE())</f>
        <v>0.470268688492503</v>
      </c>
      <c r="M11" s="43" t="n">
        <f aca="false">POISSON($A11,Model!$C$55,TRUE())</f>
        <v>0.0268004946904609</v>
      </c>
      <c r="N11" s="43" t="n">
        <f aca="false">POISSON($A11,Model!$G$53,TRUE())</f>
        <v>0.989364139302843</v>
      </c>
      <c r="O11" s="43" t="n">
        <f aca="false">POISSON($A11,Model!$G$54,TRUE())</f>
        <v>0.653951606468214</v>
      </c>
      <c r="P11" s="43" t="n">
        <f aca="false">POISSON($A11,Model!$G$55,TRUE())</f>
        <v>0.178990366509702</v>
      </c>
    </row>
    <row r="12" customFormat="false" ht="15" hidden="false" customHeight="false" outlineLevel="0" collapsed="false">
      <c r="A12" s="7" t="n">
        <v>8</v>
      </c>
      <c r="B12" s="43" t="n">
        <f aca="false">POISSON($A12,Model!B$16,TRUE())</f>
        <v>0.99996084740859</v>
      </c>
      <c r="C12" s="43" t="n">
        <f aca="false">POISSON($A12,Model!C$16,TRUE())</f>
        <v>0.999998074421522</v>
      </c>
      <c r="D12" s="43" t="n">
        <f aca="false">POISSON($A12,Model!D$16,TRUE())</f>
        <v>0.830951585585421</v>
      </c>
      <c r="E12" s="43" t="n">
        <f aca="false">POISSON($A12,Model!E$16,TRUE())</f>
        <v>0.0535340348185063</v>
      </c>
      <c r="H12" s="43" t="n">
        <f aca="false">POISSON($A12,Model!$C$46,TRUE())</f>
        <v>0.995532696610091</v>
      </c>
      <c r="I12" s="43" t="n">
        <f aca="false">POISSON($A12,Model!$C$47,TRUE())</f>
        <v>0.830951585585421</v>
      </c>
      <c r="J12" s="43" t="n">
        <f aca="false">POISSON($A12,Model!$C$48,TRUE())</f>
        <v>0.13588236025738</v>
      </c>
      <c r="K12" s="43" t="n">
        <f aca="false">POISSON($A12,Model!$C$53,TRUE())</f>
        <v>0.994813214683234</v>
      </c>
      <c r="L12" s="43" t="n">
        <f aca="false">POISSON($A12,Model!$C$54,TRUE())</f>
        <v>0.609721760106595</v>
      </c>
      <c r="M12" s="43" t="n">
        <f aca="false">POISSON($A12,Model!$C$55,TRUE())</f>
        <v>0.0535340348185063</v>
      </c>
      <c r="N12" s="43" t="n">
        <f aca="false">POISSON($A12,Model!$G$53,TRUE())</f>
        <v>0.996667965314394</v>
      </c>
      <c r="O12" s="43" t="n">
        <f aca="false">POISSON($A12,Model!$G$54,TRUE())</f>
        <v>0.776142320961244</v>
      </c>
      <c r="P12" s="43" t="n">
        <f aca="false">POISSON($A12,Model!$G$55,TRUE())</f>
        <v>0.280042586994316</v>
      </c>
    </row>
    <row r="13" customFormat="false" ht="15" hidden="false" customHeight="false" outlineLevel="0" collapsed="false">
      <c r="A13" s="7" t="n">
        <v>9</v>
      </c>
      <c r="B13" s="43" t="n">
        <f aca="false">POISSON($A13,Model!B$16,TRUE())</f>
        <v>0.999993953662326</v>
      </c>
      <c r="C13" s="43" t="n">
        <f aca="false">POISSON($A13,Model!C$16,TRUE())</f>
        <v>0.999999796351325</v>
      </c>
      <c r="D13" s="43" t="n">
        <f aca="false">POISSON($A13,Model!D$16,TRUE())</f>
        <v>0.905078385558538</v>
      </c>
      <c r="E13" s="43" t="n">
        <f aca="false">POISSON($A13,Model!E$16,TRUE())</f>
        <v>0.0960060052261125</v>
      </c>
      <c r="H13" s="43" t="n">
        <f aca="false">POISSON($A13,Model!$C$46,TRUE())</f>
        <v>0.998673176413402</v>
      </c>
      <c r="I13" s="43" t="n">
        <f aca="false">POISSON($A13,Model!$C$47,TRUE())</f>
        <v>0.905078385558538</v>
      </c>
      <c r="J13" s="43" t="n">
        <f aca="false">POISSON($A13,Model!$C$48,TRUE())</f>
        <v>0.216543394463441</v>
      </c>
      <c r="K13" s="43" t="n">
        <f aca="false">POISSON($A13,Model!$C$53,TRUE())</f>
        <v>0.998424190978049</v>
      </c>
      <c r="L13" s="43" t="n">
        <f aca="false">POISSON($A13,Model!$C$54,TRUE())</f>
        <v>0.7317729954338</v>
      </c>
      <c r="M13" s="43" t="n">
        <f aca="false">POISSON($A13,Model!$C$55,TRUE())</f>
        <v>0.0960060052261125</v>
      </c>
      <c r="N13" s="43" t="n">
        <f aca="false">POISSON($A13,Model!$G$53,TRUE())</f>
        <v>0.999052924586987</v>
      </c>
      <c r="O13" s="43" t="n">
        <f aca="false">POISSON($A13,Model!$G$54,TRUE())</f>
        <v>0.866129379799223</v>
      </c>
      <c r="P13" s="43" t="n">
        <f aca="false">POISSON($A13,Model!$G$55,TRUE())</f>
        <v>0.397866843571094</v>
      </c>
    </row>
    <row r="14" customFormat="false" ht="15" hidden="false" customHeight="false" outlineLevel="0" collapsed="false">
      <c r="A14" s="7" t="n">
        <v>10</v>
      </c>
      <c r="B14" s="43" t="n">
        <f aca="false">POISSON($A14,Model!B$16,TRUE())</f>
        <v>0.999999148797528</v>
      </c>
      <c r="C14" s="43" t="n">
        <f aca="false">POISSON($A14,Model!C$16,TRUE())</f>
        <v>0.999999980385007</v>
      </c>
      <c r="D14" s="43" t="n">
        <f aca="false">POISSON($A14,Model!D$16,TRUE())</f>
        <v>0.950694877849686</v>
      </c>
      <c r="E14" s="43" t="n">
        <f aca="false">POISSON($A14,Model!E$16,TRUE())</f>
        <v>0.156734267756931</v>
      </c>
      <c r="H14" s="43" t="n">
        <f aca="false">POISSON($A14,Model!$C$46,TRUE())</f>
        <v>0.999639477891344</v>
      </c>
      <c r="I14" s="43" t="n">
        <f aca="false">POISSON($A14,Model!$C$47,TRUE())</f>
        <v>0.950694877849686</v>
      </c>
      <c r="J14" s="43" t="n">
        <f aca="false">POISSON($A14,Model!$C$48,TRUE())</f>
        <v>0.315818513486285</v>
      </c>
      <c r="K14" s="43" t="n">
        <f aca="false">POISSON($A14,Model!$C$53,TRUE())</f>
        <v>0.999561926278322</v>
      </c>
      <c r="L14" s="43" t="n">
        <f aca="false">POISSON($A14,Model!$C$54,TRUE())</f>
        <v>0.827911814645383</v>
      </c>
      <c r="M14" s="43" t="n">
        <f aca="false">POISSON($A14,Model!$C$55,TRUE())</f>
        <v>0.156734267756931</v>
      </c>
      <c r="N14" s="43" t="n">
        <f aca="false">POISSON($A14,Model!$G$53,TRUE())</f>
        <v>0.999753821302029</v>
      </c>
      <c r="O14" s="43" t="n">
        <f aca="false">POISSON($A14,Model!$G$54,TRUE())</f>
        <v>0.925773058230245</v>
      </c>
      <c r="P14" s="43" t="n">
        <f aca="false">POISSON($A14,Model!$G$55,TRUE())</f>
        <v>0.521508855930294</v>
      </c>
    </row>
    <row r="15" customFormat="false" ht="15" hidden="false" customHeight="false" outlineLevel="0" collapsed="false">
      <c r="A15" s="7" t="n">
        <v>11</v>
      </c>
      <c r="B15" s="43" t="n">
        <f aca="false">POISSON($A15,Model!B$16,TRUE())</f>
        <v>0.99999988992171</v>
      </c>
      <c r="C15" s="43" t="n">
        <f aca="false">POISSON($A15,Model!C$16,TRUE())</f>
        <v>0.999999998265788</v>
      </c>
      <c r="D15" s="43" t="n">
        <f aca="false">POISSON($A15,Model!D$16,TRUE())</f>
        <v>0.976214593816763</v>
      </c>
      <c r="E15" s="43" t="n">
        <f aca="false">POISSON($A15,Model!E$16,TRUE())</f>
        <v>0.235672358297347</v>
      </c>
      <c r="H15" s="43" t="n">
        <f aca="false">POISSON($A15,Model!$C$46,TRUE())</f>
        <v>0.999909772011048</v>
      </c>
      <c r="I15" s="43" t="n">
        <f aca="false">POISSON($A15,Model!$C$47,TRUE())</f>
        <v>0.976214593816763</v>
      </c>
      <c r="J15" s="43" t="n">
        <f aca="false">POISSON($A15,Model!$C$48,TRUE())</f>
        <v>0.426895569735622</v>
      </c>
      <c r="K15" s="43" t="n">
        <f aca="false">POISSON($A15,Model!$C$53,TRUE())</f>
        <v>0.999887811858037</v>
      </c>
      <c r="L15" s="43" t="n">
        <f aca="false">POISSON($A15,Model!$C$54,TRUE())</f>
        <v>0.896755276794097</v>
      </c>
      <c r="M15" s="43" t="n">
        <f aca="false">POISSON($A15,Model!$C$55,TRUE())</f>
        <v>0.235672358297347</v>
      </c>
      <c r="N15" s="43" t="n">
        <f aca="false">POISSON($A15,Model!$G$53,TRUE())</f>
        <v>0.999941076721975</v>
      </c>
      <c r="O15" s="43" t="n">
        <f aca="false">POISSON($A15,Model!$G$54,TRUE())</f>
        <v>0.961711239713025</v>
      </c>
      <c r="P15" s="43" t="n">
        <f aca="false">POISSON($A15,Model!$G$55,TRUE())</f>
        <v>0.639460700362035</v>
      </c>
    </row>
    <row r="16" customFormat="false" ht="15" hidden="false" customHeight="false" outlineLevel="0" collapsed="false">
      <c r="A16" s="7" t="n">
        <v>12</v>
      </c>
      <c r="B16" s="43" t="n">
        <f aca="false">POISSON($A16,Model!B$16,TRUE())</f>
        <v>0.99999998683795</v>
      </c>
      <c r="C16" s="43" t="n">
        <f aca="false">POISSON($A16,Model!C$16,TRUE())</f>
        <v>0.999999999858316</v>
      </c>
      <c r="D16" s="43" t="n">
        <f aca="false">POISSON($A16,Model!D$16,TRUE())</f>
        <v>0.989301627646033</v>
      </c>
      <c r="E16" s="43" t="n">
        <f aca="false">POISSON($A16,Model!E$16,TRUE())</f>
        <v>0.329729941844288</v>
      </c>
      <c r="H16" s="43" t="n">
        <f aca="false">POISSON($A16,Model!$C$46,TRUE())</f>
        <v>0.999979078195588</v>
      </c>
      <c r="I16" s="43" t="n">
        <f aca="false">POISSON($A16,Model!$C$47,TRUE())</f>
        <v>0.989301627646033</v>
      </c>
      <c r="J16" s="43" t="n">
        <f aca="false">POISSON($A16,Model!$C$48,TRUE())</f>
        <v>0.540820755632377</v>
      </c>
      <c r="K16" s="43" t="n">
        <f aca="false">POISSON($A16,Model!$C$53,TRUE())</f>
        <v>0.999973377712814</v>
      </c>
      <c r="L16" s="43" t="n">
        <f aca="false">POISSON($A16,Model!$C$54,TRUE())</f>
        <v>0.941944831435304</v>
      </c>
      <c r="M16" s="43" t="n">
        <f aca="false">POISSON($A16,Model!$C$55,TRUE())</f>
        <v>0.329729941844288</v>
      </c>
      <c r="N16" s="43" t="n">
        <f aca="false">POISSON($A16,Model!$G$53,TRUE())</f>
        <v>0.999986935893877</v>
      </c>
      <c r="O16" s="43" t="n">
        <f aca="false">POISSON($A16,Model!$G$54,TRUE())</f>
        <v>0.981561180428889</v>
      </c>
      <c r="P16" s="43" t="n">
        <f aca="false">POISSON($A16,Model!$G$55,TRUE())</f>
        <v>0.742607283747694</v>
      </c>
    </row>
    <row r="17" customFormat="false" ht="15" hidden="false" customHeight="false" outlineLevel="0" collapsed="false">
      <c r="A17" s="7" t="n">
        <v>13</v>
      </c>
      <c r="B17" s="43" t="n">
        <f aca="false">POISSON($A17,Model!B$16,TRUE())</f>
        <v>0.999999998536715</v>
      </c>
      <c r="C17" s="43" t="n">
        <f aca="false">POISSON($A17,Model!C$16,TRUE())</f>
        <v>0.999999999989242</v>
      </c>
      <c r="D17" s="43" t="n">
        <f aca="false">POISSON($A17,Model!D$16,TRUE())</f>
        <v>0.995496673245687</v>
      </c>
      <c r="E17" s="43" t="n">
        <f aca="false">POISSON($A17,Model!E$16,TRUE())</f>
        <v>0.433181946539928</v>
      </c>
      <c r="H17" s="43" t="n">
        <f aca="false">POISSON($A17,Model!$C$46,TRUE())</f>
        <v>0.999995482026248</v>
      </c>
      <c r="I17" s="43" t="n">
        <f aca="false">POISSON($A17,Model!$C$47,TRUE())</f>
        <v>0.995496673245687</v>
      </c>
      <c r="J17" s="43" t="n">
        <f aca="false">POISSON($A17,Model!$C$48,TRUE())</f>
        <v>0.648678919794986</v>
      </c>
      <c r="K17" s="43" t="n">
        <f aca="false">POISSON($A17,Model!$C$53,TRUE())</f>
        <v>0.999994116040693</v>
      </c>
      <c r="L17" s="43" t="n">
        <f aca="false">POISSON($A17,Model!$C$54,TRUE())</f>
        <v>0.969325958034474</v>
      </c>
      <c r="M17" s="43" t="n">
        <f aca="false">POISSON($A17,Model!$C$55,TRUE())</f>
        <v>0.433181946539928</v>
      </c>
      <c r="N17" s="43" t="n">
        <f aca="false">POISSON($A17,Model!$G$53,TRUE())</f>
        <v>0.99999730296107</v>
      </c>
      <c r="O17" s="43" t="n">
        <f aca="false">POISSON($A17,Model!$G$54,TRUE())</f>
        <v>0.99168163976724</v>
      </c>
      <c r="P17" s="43" t="n">
        <f aca="false">POISSON($A17,Model!$G$55,TRUE())</f>
        <v>0.825868519319456</v>
      </c>
    </row>
    <row r="18" customFormat="false" ht="15" hidden="false" customHeight="false" outlineLevel="0" collapsed="false">
      <c r="A18" s="7" t="n">
        <v>14</v>
      </c>
      <c r="B18" s="43" t="n">
        <f aca="false">POISSON($A18,Model!B$16,TRUE())</f>
        <v>0.999999999848005</v>
      </c>
      <c r="C18" s="43" t="n">
        <f aca="false">POISSON($A18,Model!C$16,TRUE())</f>
        <v>0.999999999999237</v>
      </c>
      <c r="D18" s="43" t="n">
        <f aca="false">POISSON($A18,Model!D$16,TRUE())</f>
        <v>0.998219770212568</v>
      </c>
      <c r="E18" s="43" t="n">
        <f aca="false">POISSON($A18,Model!E$16,TRUE())</f>
        <v>0.538839201030413</v>
      </c>
      <c r="H18" s="43" t="n">
        <f aca="false">POISSON($A18,Model!$C$46,TRUE())</f>
        <v>0.999999087263756</v>
      </c>
      <c r="I18" s="43" t="n">
        <f aca="false">POISSON($A18,Model!$C$47,TRUE())</f>
        <v>0.998219770212568</v>
      </c>
      <c r="J18" s="43" t="n">
        <f aca="false">POISSON($A18,Model!$C$48,TRUE())</f>
        <v>0.743499283893982</v>
      </c>
      <c r="K18" s="43" t="n">
        <f aca="false">POISSON($A18,Model!$C$53,TRUE())</f>
        <v>0.999998783303935</v>
      </c>
      <c r="L18" s="43" t="n">
        <f aca="false">POISSON($A18,Model!$C$54,TRUE())</f>
        <v>0.98473160289027</v>
      </c>
      <c r="M18" s="43" t="n">
        <f aca="false">POISSON($A18,Model!$C$55,TRUE())</f>
        <v>0.538839201030413</v>
      </c>
      <c r="N18" s="43" t="n">
        <f aca="false">POISSON($A18,Model!$G$53,TRUE())</f>
        <v>0.999999479171739</v>
      </c>
      <c r="O18" s="43" t="n">
        <f aca="false">POISSON($A18,Model!$G$54,TRUE())</f>
        <v>0.996472974925758</v>
      </c>
      <c r="P18" s="43" t="n">
        <f aca="false">POISSON($A18,Model!$G$55,TRUE())</f>
        <v>0.888277368231394</v>
      </c>
    </row>
    <row r="19" customFormat="false" ht="15" hidden="false" customHeight="false" outlineLevel="0" collapsed="false">
      <c r="A19" s="7" t="n">
        <v>15</v>
      </c>
      <c r="B19" s="43" t="n">
        <f aca="false">POISSON($A19,Model!B$16,TRUE())</f>
        <v>0.999999999985186</v>
      </c>
      <c r="C19" s="43" t="n">
        <f aca="false">POISSON($A19,Model!C$16,TRUE())</f>
        <v>0.999999999999949</v>
      </c>
      <c r="D19" s="43" t="n">
        <f aca="false">POISSON($A19,Model!D$16,TRUE())</f>
        <v>0.999336938198981</v>
      </c>
      <c r="E19" s="43" t="n">
        <f aca="false">POISSON($A19,Model!E$16,TRUE())</f>
        <v>0.639554746324644</v>
      </c>
      <c r="H19" s="43" t="n">
        <f aca="false">POISSON($A19,Model!$C$46,TRUE())</f>
        <v>0.999999826799655</v>
      </c>
      <c r="I19" s="43" t="n">
        <f aca="false">POISSON($A19,Model!$C$47,TRUE())</f>
        <v>0.999336938198981</v>
      </c>
      <c r="J19" s="43" t="n">
        <f aca="false">POISSON($A19,Model!$C$48,TRUE())</f>
        <v>0.821300608282902</v>
      </c>
      <c r="K19" s="43" t="n">
        <f aca="false">POISSON($A19,Model!$C$53,TRUE())</f>
        <v>0.999999763668562</v>
      </c>
      <c r="L19" s="43" t="n">
        <f aca="false">POISSON($A19,Model!$C$54,TRUE())</f>
        <v>0.992821541522237</v>
      </c>
      <c r="M19" s="43" t="n">
        <f aca="false">POISSON($A19,Model!$C$55,TRUE())</f>
        <v>0.639554746324644</v>
      </c>
      <c r="N19" s="43" t="n">
        <f aca="false">POISSON($A19,Model!$G$53,TRUE())</f>
        <v>0.999999905537904</v>
      </c>
      <c r="O19" s="43" t="n">
        <f aca="false">POISSON($A19,Model!$G$54,TRUE())</f>
        <v>0.998590115302312</v>
      </c>
      <c r="P19" s="43" t="n">
        <f aca="false">POISSON($A19,Model!$G$55,TRUE())</f>
        <v>0.931937623443585</v>
      </c>
    </row>
    <row r="20" customFormat="false" ht="15" hidden="false" customHeight="false" outlineLevel="0" collapsed="false">
      <c r="A20" s="7" t="n">
        <v>16</v>
      </c>
      <c r="B20" s="43" t="n">
        <f aca="false">POISSON($A20,Model!B$16,TRUE())</f>
        <v>0.99999999999864</v>
      </c>
      <c r="C20" s="43" t="n">
        <f aca="false">POISSON($A20,Model!C$16,TRUE())</f>
        <v>0.999999999999997</v>
      </c>
      <c r="D20" s="43" t="n">
        <f aca="false">POISSON($A20,Model!D$16,TRUE())</f>
        <v>0.999766618193755</v>
      </c>
      <c r="E20" s="43" t="n">
        <f aca="false">POISSON($A20,Model!E$16,TRUE())</f>
        <v>0.729559401407518</v>
      </c>
      <c r="H20" s="43" t="n">
        <f aca="false">POISSON($A20,Model!$C$46,TRUE())</f>
        <v>0.999999969018097</v>
      </c>
      <c r="I20" s="43" t="n">
        <f aca="false">POISSON($A20,Model!$C$47,TRUE())</f>
        <v>0.999766618193755</v>
      </c>
      <c r="J20" s="43" t="n">
        <f aca="false">POISSON($A20,Model!$C$48,TRUE())</f>
        <v>0.881147780889764</v>
      </c>
      <c r="K20" s="43" t="n">
        <f aca="false">POISSON($A20,Model!$C$53,TRUE())</f>
        <v>0.999999956724981</v>
      </c>
      <c r="L20" s="43" t="n">
        <f aca="false">POISSON($A20,Model!$C$54,TRUE())</f>
        <v>0.996804280541051</v>
      </c>
      <c r="M20" s="43" t="n">
        <f aca="false">POISSON($A20,Model!$C$55,TRUE())</f>
        <v>0.729559401407518</v>
      </c>
      <c r="N20" s="43" t="n">
        <f aca="false">POISSON($A20,Model!$G$53,TRUE())</f>
        <v>0.999999983851255</v>
      </c>
      <c r="O20" s="43" t="n">
        <f aca="false">POISSON($A20,Model!$G$54,TRUE())</f>
        <v>0.999467144465194</v>
      </c>
      <c r="P20" s="43" t="n">
        <f aca="false">POISSON($A20,Model!$G$55,TRUE())</f>
        <v>0.960572653547902</v>
      </c>
    </row>
    <row r="21" customFormat="false" ht="15" hidden="false" customHeight="false" outlineLevel="0" collapsed="false">
      <c r="A21" s="7" t="n">
        <v>17</v>
      </c>
      <c r="B21" s="43" t="n">
        <f aca="false">POISSON($A21,Model!B$16,TRUE())</f>
        <v>0.999999999999882</v>
      </c>
      <c r="C21" s="43" t="n">
        <f aca="false">POISSON($A21,Model!C$16,TRUE())</f>
        <v>1</v>
      </c>
      <c r="D21" s="43" t="n">
        <f aca="false">POISSON($A21,Model!D$16,TRUE())</f>
        <v>0.999922158463356</v>
      </c>
      <c r="E21" s="43" t="n">
        <f aca="false">POISSON($A21,Model!E$16,TRUE())</f>
        <v>0.805260903451622</v>
      </c>
      <c r="H21" s="43" t="n">
        <f aca="false">POISSON($A21,Model!$C$46,TRUE())</f>
        <v>0.999999994758991</v>
      </c>
      <c r="I21" s="43" t="n">
        <f aca="false">POISSON($A21,Model!$C$47,TRUE())</f>
        <v>0.999922158463356</v>
      </c>
      <c r="J21" s="43" t="n">
        <f aca="false">POISSON($A21,Model!$C$48,TRUE())</f>
        <v>0.924476050650388</v>
      </c>
      <c r="K21" s="43" t="n">
        <f aca="false">POISSON($A21,Model!$C$53,TRUE())</f>
        <v>0.999999992505935</v>
      </c>
      <c r="L21" s="43" t="n">
        <f aca="false">POISSON($A21,Model!$C$54,TRUE())</f>
        <v>0.998649676357914</v>
      </c>
      <c r="M21" s="43" t="n">
        <f aca="false">POISSON($A21,Model!$C$55,TRUE())</f>
        <v>0.805260903451622</v>
      </c>
      <c r="N21" s="43" t="n">
        <f aca="false">POISSON($A21,Model!$G$53,TRUE())</f>
        <v>0.999999997389425</v>
      </c>
      <c r="O21" s="43" t="n">
        <f aca="false">POISSON($A21,Model!$G$54,TRUE())</f>
        <v>0.999809084125518</v>
      </c>
      <c r="P21" s="43" t="n">
        <f aca="false">POISSON($A21,Model!$G$55,TRUE())</f>
        <v>0.978248494264497</v>
      </c>
    </row>
    <row r="22" customFormat="false" ht="15" hidden="false" customHeight="false" outlineLevel="0" collapsed="false">
      <c r="A22" s="7" t="n">
        <v>18</v>
      </c>
      <c r="B22" s="43" t="n">
        <f aca="false">POISSON($A22,Model!B$16,TRUE())</f>
        <v>0.99999999999999</v>
      </c>
      <c r="C22" s="43" t="n">
        <f aca="false">POISSON($A22,Model!C$16,TRUE())</f>
        <v>1</v>
      </c>
      <c r="D22" s="43" t="n">
        <f aca="false">POISSON($A22,Model!D$16,TRUE())</f>
        <v>0.999975334623904</v>
      </c>
      <c r="E22" s="43" t="n">
        <f aca="false">POISSON($A22,Model!E$16,TRUE())</f>
        <v>0.865394951154036</v>
      </c>
      <c r="H22" s="43" t="n">
        <f aca="false">POISSON($A22,Model!$C$46,TRUE())</f>
        <v>0.999999999159144</v>
      </c>
      <c r="I22" s="43" t="n">
        <f aca="false">POISSON($A22,Model!$C$47,TRUE())</f>
        <v>0.999975334623904</v>
      </c>
      <c r="J22" s="43" t="n">
        <f aca="false">POISSON($A22,Model!$C$48,TRUE())</f>
        <v>0.95410221800808</v>
      </c>
      <c r="K22" s="43" t="n">
        <f aca="false">POISSON($A22,Model!$C$53,TRUE())</f>
        <v>0.999999998769132</v>
      </c>
      <c r="L22" s="43" t="n">
        <f aca="false">POISSON($A22,Model!$C$54,TRUE())</f>
        <v>0.999457234185464</v>
      </c>
      <c r="M22" s="43" t="n">
        <f aca="false">POISSON($A22,Model!$C$55,TRUE())</f>
        <v>0.865394951154036</v>
      </c>
      <c r="N22" s="43" t="n">
        <f aca="false">POISSON($A22,Model!$G$53,TRUE())</f>
        <v>0.999999999599772</v>
      </c>
      <c r="O22" s="43" t="n">
        <f aca="false">POISSON($A22,Model!$G$54,TRUE())</f>
        <v>0.999934994447183</v>
      </c>
      <c r="P22" s="43" t="n">
        <f aca="false">POISSON($A22,Model!$G$55,TRUE())</f>
        <v>0.988553279165881</v>
      </c>
    </row>
    <row r="23" customFormat="false" ht="15" hidden="false" customHeight="false" outlineLevel="0" collapsed="false">
      <c r="A23" s="7" t="n">
        <v>19</v>
      </c>
      <c r="B23" s="43" t="n">
        <f aca="false">POISSON($A23,Model!B$16,TRUE())</f>
        <v>0.999999999999999</v>
      </c>
      <c r="C23" s="43" t="n">
        <f aca="false">POISSON($A23,Model!C$16,TRUE())</f>
        <v>1</v>
      </c>
      <c r="D23" s="43" t="n">
        <f aca="false">POISSON($A23,Model!D$16,TRUE())</f>
        <v>0.999992557671854</v>
      </c>
      <c r="E23" s="43" t="n">
        <f aca="false">POISSON($A23,Model!E$16,TRUE())</f>
        <v>0.910648775101628</v>
      </c>
      <c r="H23" s="43" t="n">
        <f aca="false">POISSON($A23,Model!$C$46,TRUE())</f>
        <v>0.99999999987172</v>
      </c>
      <c r="I23" s="43" t="n">
        <f aca="false">POISSON($A23,Model!$C$47,TRUE())</f>
        <v>0.999992557671854</v>
      </c>
      <c r="J23" s="43" t="n">
        <f aca="false">POISSON($A23,Model!$C$48,TRUE())</f>
        <v>0.97329325759201</v>
      </c>
      <c r="K23" s="43" t="n">
        <f aca="false">POISSON($A23,Model!$C$53,TRUE())</f>
        <v>0.999999999807757</v>
      </c>
      <c r="L23" s="43" t="n">
        <f aca="false">POISSON($A23,Model!$C$54,TRUE())</f>
        <v>0.999792027390084</v>
      </c>
      <c r="M23" s="43" t="n">
        <f aca="false">POISSON($A23,Model!$C$55,TRUE())</f>
        <v>0.910648775101628</v>
      </c>
      <c r="N23" s="43" t="n">
        <f aca="false">POISSON($A23,Model!$G$53,TRUE())</f>
        <v>0.999999999941657</v>
      </c>
      <c r="O23" s="43" t="n">
        <f aca="false">POISSON($A23,Model!$G$54,TRUE())</f>
        <v>0.999978917457269</v>
      </c>
      <c r="P23" s="43" t="n">
        <f aca="false">POISSON($A23,Model!$G$55,TRUE())</f>
        <v>0.994244647413692</v>
      </c>
    </row>
    <row r="24" customFormat="false" ht="15" hidden="false" customHeight="false" outlineLevel="0" collapsed="false">
      <c r="A24" s="7" t="n">
        <v>20</v>
      </c>
      <c r="B24" s="43" t="n">
        <f aca="false">POISSON($A24,Model!B$16,TRUE())</f>
        <v>1</v>
      </c>
      <c r="C24" s="43" t="n">
        <f aca="false">POISSON($A24,Model!C$16,TRUE())</f>
        <v>1</v>
      </c>
      <c r="D24" s="43" t="n">
        <f aca="false">POISSON($A24,Model!D$16,TRUE())</f>
        <v>0.999997857071224</v>
      </c>
      <c r="E24" s="43" t="n">
        <f aca="false">POISSON($A24,Model!E$16,TRUE())</f>
        <v>0.943001713696639</v>
      </c>
      <c r="H24" s="43" t="n">
        <f aca="false">POISSON($A24,Model!$C$46,TRUE())</f>
        <v>0.999999999981347</v>
      </c>
      <c r="I24" s="43" t="n">
        <f aca="false">POISSON($A24,Model!$C$47,TRUE())</f>
        <v>0.999997857071224</v>
      </c>
      <c r="J24" s="43" t="n">
        <f aca="false">POISSON($A24,Model!$C$48,TRUE())</f>
        <v>0.985103128105197</v>
      </c>
      <c r="K24" s="43" t="n">
        <f aca="false">POISSON($A24,Model!$C$53,TRUE())</f>
        <v>0.999999999971381</v>
      </c>
      <c r="L24" s="43" t="n">
        <f aca="false">POISSON($A24,Model!$C$54,TRUE())</f>
        <v>0.999923884406057</v>
      </c>
      <c r="M24" s="43" t="n">
        <f aca="false">POISSON($A24,Model!$C$55,TRUE())</f>
        <v>0.943001713696639</v>
      </c>
      <c r="N24" s="43" t="n">
        <f aca="false">POISSON($A24,Model!$G$53,TRUE())</f>
        <v>0.999999999991894</v>
      </c>
      <c r="O24" s="43" t="n">
        <f aca="false">POISSON($A24,Model!$G$54,TRUE())</f>
        <v>0.999993473605248</v>
      </c>
      <c r="P24" s="43" t="n">
        <f aca="false">POISSON($A24,Model!$G$55,TRUE())</f>
        <v>0.997230841613772</v>
      </c>
    </row>
    <row r="25" customFormat="false" ht="15" hidden="false" customHeight="false" outlineLevel="0" collapsed="false">
      <c r="A25" s="7" t="n">
        <v>21</v>
      </c>
      <c r="B25" s="43" t="n">
        <f aca="false">POISSON($A25,Model!B$16,TRUE())</f>
        <v>1</v>
      </c>
      <c r="C25" s="43" t="n">
        <f aca="false">POISSON($A25,Model!C$16,TRUE())</f>
        <v>1</v>
      </c>
      <c r="D25" s="43" t="n">
        <f aca="false">POISSON($A25,Model!D$16,TRUE())</f>
        <v>0.999999410008768</v>
      </c>
      <c r="E25" s="43" t="n">
        <f aca="false">POISSON($A25,Model!E$16,TRUE())</f>
        <v>0.965030110192868</v>
      </c>
      <c r="H25" s="43" t="n">
        <f aca="false">POISSON($A25,Model!$C$46,TRUE())</f>
        <v>0.999999999997409</v>
      </c>
      <c r="I25" s="43" t="n">
        <f aca="false">POISSON($A25,Model!$C$47,TRUE())</f>
        <v>0.999999410008768</v>
      </c>
      <c r="J25" s="43" t="n">
        <f aca="false">POISSON($A25,Model!$C$48,TRUE())</f>
        <v>0.992024663937102</v>
      </c>
      <c r="K25" s="43" t="n">
        <f aca="false">POISSON($A25,Model!$C$53,TRUE())</f>
        <v>0.99999999999593</v>
      </c>
      <c r="L25" s="43" t="n">
        <f aca="false">POISSON($A25,Model!$C$54,TRUE())</f>
        <v>0.999973342861866</v>
      </c>
      <c r="M25" s="43" t="n">
        <f aca="false">POISSON($A25,Model!$C$55,TRUE())</f>
        <v>0.965030110192868</v>
      </c>
      <c r="N25" s="43" t="n">
        <f aca="false">POISSON($A25,Model!$G$53,TRUE())</f>
        <v>0.999999999998924</v>
      </c>
      <c r="O25" s="43" t="n">
        <f aca="false">POISSON($A25,Model!$G$54,TRUE())</f>
        <v>0.999998067822516</v>
      </c>
      <c r="P25" s="43" t="n">
        <f aca="false">POISSON($A25,Model!$G$55,TRUE())</f>
        <v>0.998723052175504</v>
      </c>
    </row>
    <row r="26" customFormat="false" ht="15" hidden="false" customHeight="false" outlineLevel="0" collapsed="false">
      <c r="A26" s="7" t="n">
        <v>22</v>
      </c>
      <c r="B26" s="43" t="n">
        <f aca="false">POISSON($A26,Model!B$16,TRUE())</f>
        <v>1</v>
      </c>
      <c r="C26" s="43" t="n">
        <f aca="false">POISSON($A26,Model!C$16,TRUE())</f>
        <v>1</v>
      </c>
      <c r="D26" s="43" t="n">
        <f aca="false">POISSON($A26,Model!D$16,TRUE())</f>
        <v>0.999999844396892</v>
      </c>
      <c r="E26" s="43" t="n">
        <f aca="false">POISSON($A26,Model!E$16,TRUE())</f>
        <v>0.979346998941308</v>
      </c>
      <c r="H26" s="43" t="n">
        <f aca="false">POISSON($A26,Model!$C$46,TRUE())</f>
        <v>0.999999999999656</v>
      </c>
      <c r="I26" s="43" t="n">
        <f aca="false">POISSON($A26,Model!$C$47,TRUE())</f>
        <v>0.999999844396892</v>
      </c>
      <c r="J26" s="43" t="n">
        <f aca="false">POISSON($A26,Model!$C$48,TRUE())</f>
        <v>0.995896851815091</v>
      </c>
      <c r="K26" s="43" t="n">
        <f aca="false">POISSON($A26,Model!$C$53,TRUE())</f>
        <v>0.999999999999446</v>
      </c>
      <c r="L26" s="43" t="n">
        <f aca="false">POISSON($A26,Model!$C$54,TRUE())</f>
        <v>0.999991051064225</v>
      </c>
      <c r="M26" s="43" t="n">
        <f aca="false">POISSON($A26,Model!$C$55,TRUE())</f>
        <v>0.979346998941308</v>
      </c>
      <c r="N26" s="43" t="n">
        <f aca="false">POISSON($A26,Model!$G$53,TRUE())</f>
        <v>0.999999999999863</v>
      </c>
      <c r="O26" s="43" t="n">
        <f aca="false">POISSON($A26,Model!$G$54,TRUE())</f>
        <v>0.99999945194082</v>
      </c>
      <c r="P26" s="43" t="n">
        <f aca="false">POISSON($A26,Model!$G$55,TRUE())</f>
        <v>0.999434820710641</v>
      </c>
    </row>
    <row r="27" customFormat="false" ht="15" hidden="false" customHeight="false" outlineLevel="0" collapsed="false">
      <c r="A27" s="7" t="n">
        <v>23</v>
      </c>
      <c r="B27" s="43" t="n">
        <f aca="false">POISSON($A27,Model!B$16,TRUE())</f>
        <v>1</v>
      </c>
      <c r="C27" s="43" t="n">
        <f aca="false">POISSON($A27,Model!C$16,TRUE())</f>
        <v>1</v>
      </c>
      <c r="D27" s="43" t="n">
        <f aca="false">POISSON($A27,Model!D$16,TRUE())</f>
        <v>0.99999996062114</v>
      </c>
      <c r="E27" s="43" t="n">
        <f aca="false">POISSON($A27,Model!E$16,TRUE())</f>
        <v>0.988247393516588</v>
      </c>
      <c r="H27" s="43" t="n">
        <f aca="false">POISSON($A27,Model!$C$46,TRUE())</f>
        <v>0.999999999999956</v>
      </c>
      <c r="I27" s="43" t="n">
        <f aca="false">POISSON($A27,Model!$C$47,TRUE())</f>
        <v>0.99999996062114</v>
      </c>
      <c r="J27" s="43" t="n">
        <f aca="false">POISSON($A27,Model!$C$48,TRUE())</f>
        <v>0.997968925595954</v>
      </c>
      <c r="K27" s="43" t="n">
        <f aca="false">POISSON($A27,Model!$C$53,TRUE())</f>
        <v>0.999999999999928</v>
      </c>
      <c r="L27" s="43" t="n">
        <f aca="false">POISSON($A27,Model!$C$54,TRUE())</f>
        <v>0.999997115679347</v>
      </c>
      <c r="M27" s="43" t="n">
        <f aca="false">POISSON($A27,Model!$C$55,TRUE())</f>
        <v>0.988247393516588</v>
      </c>
      <c r="N27" s="43" t="n">
        <f aca="false">POISSON($A27,Model!$G$53,TRUE())</f>
        <v>0.999999999999983</v>
      </c>
      <c r="O27" s="43" t="n">
        <f aca="false">POISSON($A27,Model!$G$54,TRUE())</f>
        <v>0.999999850809318</v>
      </c>
      <c r="P27" s="43" t="n">
        <f aca="false">POISSON($A27,Model!$G$55,TRUE())</f>
        <v>0.999759565585745</v>
      </c>
    </row>
    <row r="28" customFormat="false" ht="15" hidden="false" customHeight="false" outlineLevel="0" collapsed="false">
      <c r="A28" s="7" t="n">
        <v>24</v>
      </c>
      <c r="B28" s="43" t="n">
        <f aca="false">POISSON($A28,Model!B$16,TRUE())</f>
        <v>1</v>
      </c>
      <c r="C28" s="43" t="n">
        <f aca="false">POISSON($A28,Model!C$16,TRUE())</f>
        <v>1</v>
      </c>
      <c r="D28" s="43" t="n">
        <f aca="false">POISSON($A28,Model!D$16,TRUE())</f>
        <v>0.999999990422229</v>
      </c>
      <c r="E28" s="43" t="n">
        <f aca="false">POISSON($A28,Model!E$16,TRUE())</f>
        <v>0.993549964180725</v>
      </c>
      <c r="H28" s="43" t="n">
        <f aca="false">POISSON($A28,Model!$C$46,TRUE())</f>
        <v>0.999999999999995</v>
      </c>
      <c r="I28" s="43" t="n">
        <f aca="false">POISSON($A28,Model!$C$47,TRUE())</f>
        <v>0.999999990422229</v>
      </c>
      <c r="J28" s="43" t="n">
        <f aca="false">POISSON($A28,Model!$C$48,TRUE())</f>
        <v>0.999031527534858</v>
      </c>
      <c r="K28" s="43" t="n">
        <f aca="false">POISSON($A28,Model!$C$53,TRUE())</f>
        <v>0.999999999999991</v>
      </c>
      <c r="L28" s="43" t="n">
        <f aca="false">POISSON($A28,Model!$C$54,TRUE())</f>
        <v>0.999999106117131</v>
      </c>
      <c r="M28" s="43" t="n">
        <f aca="false">POISSON($A28,Model!$C$55,TRUE())</f>
        <v>0.993549964180725</v>
      </c>
      <c r="N28" s="43" t="n">
        <f aca="false">POISSON($A28,Model!$G$53,TRUE())</f>
        <v>0.999999999999998</v>
      </c>
      <c r="O28" s="43" t="n">
        <f aca="false">POISSON($A28,Model!$G$54,TRUE())</f>
        <v>0.999999960963974</v>
      </c>
      <c r="P28" s="43" t="n">
        <f aca="false">POISSON($A28,Model!$G$55,TRUE())</f>
        <v>0.999901557109915</v>
      </c>
    </row>
    <row r="29" customFormat="false" ht="15" hidden="false" customHeight="false" outlineLevel="0" collapsed="false">
      <c r="A29" s="7" t="n">
        <v>25</v>
      </c>
      <c r="B29" s="43" t="n">
        <f aca="false">POISSON($A29,Model!B$16,TRUE())</f>
        <v>1</v>
      </c>
      <c r="C29" s="43" t="n">
        <f aca="false">POISSON($A29,Model!C$16,TRUE())</f>
        <v>1</v>
      </c>
      <c r="D29" s="43" t="n">
        <f aca="false">POISSON($A29,Model!D$16,TRUE())</f>
        <v>0.999999997757881</v>
      </c>
      <c r="E29" s="43" t="n">
        <f aca="false">POISSON($A29,Model!E$16,TRUE())</f>
        <v>0.996582702245754</v>
      </c>
      <c r="H29" s="43" t="n">
        <f aca="false">POISSON($A29,Model!$C$46,TRUE())</f>
        <v>0.999999999999999</v>
      </c>
      <c r="I29" s="43" t="n">
        <f aca="false">POISSON($A29,Model!$C$47,TRUE())</f>
        <v>0.999999997757881</v>
      </c>
      <c r="J29" s="43" t="n">
        <f aca="false">POISSON($A29,Model!$C$48,TRUE())</f>
        <v>0.999554654643242</v>
      </c>
      <c r="K29" s="43" t="n">
        <f aca="false">POISSON($A29,Model!$C$53,TRUE())</f>
        <v>0.999999999999999</v>
      </c>
      <c r="L29" s="43" t="n">
        <f aca="false">POISSON($A29,Model!$C$54,TRUE())</f>
        <v>0.999999733258144</v>
      </c>
      <c r="M29" s="43" t="n">
        <f aca="false">POISSON($A29,Model!$C$55,TRUE())</f>
        <v>0.996582702245754</v>
      </c>
      <c r="N29" s="43" t="n">
        <f aca="false">POISSON($A29,Model!$G$53,TRUE())</f>
        <v>1</v>
      </c>
      <c r="O29" s="43" t="n">
        <f aca="false">POISSON($A29,Model!$G$54,TRUE())</f>
        <v>0.999999990168302</v>
      </c>
      <c r="P29" s="43" t="n">
        <f aca="false">POISSON($A29,Model!$G$55,TRUE())</f>
        <v>0.999961158140455</v>
      </c>
    </row>
    <row r="30" customFormat="false" ht="15" hidden="false" customHeight="false" outlineLevel="0" collapsed="false">
      <c r="A30" s="7" t="n">
        <v>26</v>
      </c>
      <c r="B30" s="43" t="n">
        <f aca="false">POISSON($A30,Model!B$16,TRUE())</f>
        <v>1</v>
      </c>
      <c r="C30" s="43" t="n">
        <f aca="false">POISSON($A30,Model!C$16,TRUE())</f>
        <v>1</v>
      </c>
      <c r="D30" s="43" t="n">
        <f aca="false">POISSON($A30,Model!D$16,TRUE())</f>
        <v>0.99999999949413</v>
      </c>
      <c r="E30" s="43" t="n">
        <f aca="false">POISSON($A30,Model!E$16,TRUE())</f>
        <v>0.99825052540638</v>
      </c>
      <c r="H30" s="43" t="n">
        <f aca="false">POISSON($A30,Model!$C$46,TRUE())</f>
        <v>1</v>
      </c>
      <c r="I30" s="43" t="n">
        <f aca="false">POISSON($A30,Model!$C$47,TRUE())</f>
        <v>0.99999999949413</v>
      </c>
      <c r="J30" s="43" t="n">
        <f aca="false">POISSON($A30,Model!$C$48,TRUE())</f>
        <v>0.999802288777388</v>
      </c>
      <c r="K30" s="43" t="n">
        <f aca="false">POISSON($A30,Model!$C$53,TRUE())</f>
        <v>1</v>
      </c>
      <c r="L30" s="43" t="n">
        <f aca="false">POISSON($A30,Model!$C$54,TRUE())</f>
        <v>0.999999923255894</v>
      </c>
      <c r="M30" s="43" t="n">
        <f aca="false">POISSON($A30,Model!$C$55,TRUE())</f>
        <v>0.99825052540638</v>
      </c>
      <c r="N30" s="43" t="n">
        <f aca="false">POISSON($A30,Model!$G$53,TRUE())</f>
        <v>1</v>
      </c>
      <c r="O30" s="43" t="n">
        <f aca="false">POISSON($A30,Model!$G$54,TRUE())</f>
        <v>0.999999997613191</v>
      </c>
      <c r="P30" s="43" t="n">
        <f aca="false">POISSON($A30,Model!$G$55,TRUE())</f>
        <v>0.999985213495858</v>
      </c>
    </row>
    <row r="31" customFormat="false" ht="15" hidden="false" customHeight="false" outlineLevel="0" collapsed="false">
      <c r="A31" s="7" t="n">
        <v>27</v>
      </c>
      <c r="B31" s="43" t="n">
        <f aca="false">POISSON($A31,Model!B$16,TRUE())</f>
        <v>1</v>
      </c>
      <c r="C31" s="43" t="n">
        <f aca="false">POISSON($A31,Model!C$16,TRUE())</f>
        <v>1</v>
      </c>
      <c r="D31" s="43" t="n">
        <f aca="false">POISSON($A31,Model!D$16,TRUE())</f>
        <v>0.999999999889857</v>
      </c>
      <c r="E31" s="43" t="n">
        <f aca="false">POISSON($A31,Model!E$16,TRUE())</f>
        <v>0.999133757176707</v>
      </c>
      <c r="H31" s="43" t="n">
        <f aca="false">POISSON($A31,Model!$C$46,TRUE())</f>
        <v>1</v>
      </c>
      <c r="I31" s="43" t="n">
        <f aca="false">POISSON($A31,Model!$C$47,TRUE())</f>
        <v>0.999999999889857</v>
      </c>
      <c r="J31" s="43" t="n">
        <f aca="false">POISSON($A31,Model!$C$48,TRUE())</f>
        <v>0.999915170433979</v>
      </c>
      <c r="K31" s="43" t="n">
        <f aca="false">POISSON($A31,Model!$C$53,TRUE())</f>
        <v>1</v>
      </c>
      <c r="L31" s="43" t="n">
        <f aca="false">POISSON($A31,Model!$C$54,TRUE())</f>
        <v>0.999999978685437</v>
      </c>
      <c r="M31" s="43" t="n">
        <f aca="false">POISSON($A31,Model!$C$55,TRUE())</f>
        <v>0.999133757176707</v>
      </c>
      <c r="N31" s="43" t="n">
        <f aca="false">POISSON($A31,Model!$G$53,TRUE())</f>
        <v>1</v>
      </c>
      <c r="O31" s="43" t="n">
        <f aca="false">POISSON($A31,Model!$G$54,TRUE())</f>
        <v>0.999999999440781</v>
      </c>
      <c r="P31" s="43" t="n">
        <f aca="false">POISSON($A31,Model!$G$55,TRUE())</f>
        <v>0.99999456280177</v>
      </c>
    </row>
    <row r="32" customFormat="false" ht="15" hidden="false" customHeight="false" outlineLevel="0" collapsed="false">
      <c r="A32" s="7" t="n">
        <v>28</v>
      </c>
      <c r="B32" s="43" t="n">
        <f aca="false">POISSON($A32,Model!B$16,TRUE())</f>
        <v>1</v>
      </c>
      <c r="C32" s="43" t="n">
        <f aca="false">POISSON($A32,Model!C$16,TRUE())</f>
        <v>1</v>
      </c>
      <c r="D32" s="43" t="n">
        <f aca="false">POISSON($A32,Model!D$16,TRUE())</f>
        <v>0.999999999976829</v>
      </c>
      <c r="E32" s="43" t="n">
        <f aca="false">POISSON($A32,Model!E$16,TRUE())</f>
        <v>0.999584786831502</v>
      </c>
      <c r="H32" s="43" t="n">
        <f aca="false">POISSON($A32,Model!$C$46,TRUE())</f>
        <v>1</v>
      </c>
      <c r="I32" s="43" t="n">
        <f aca="false">POISSON($A32,Model!$C$47,TRUE())</f>
        <v>0.999999999976829</v>
      </c>
      <c r="J32" s="43" t="n">
        <f aca="false">POISSON($A32,Model!$C$48,TRUE())</f>
        <v>0.999964788744568</v>
      </c>
      <c r="K32" s="43" t="n">
        <f aca="false">POISSON($A32,Model!$C$53,TRUE())</f>
        <v>1</v>
      </c>
      <c r="L32" s="43" t="n">
        <f aca="false">POISSON($A32,Model!$C$54,TRUE())</f>
        <v>0.999999994278803</v>
      </c>
      <c r="M32" s="43" t="n">
        <f aca="false">POISSON($A32,Model!$C$55,TRUE())</f>
        <v>0.999584786831502</v>
      </c>
      <c r="N32" s="43" t="n">
        <f aca="false">POISSON($A32,Model!$G$53,TRUE())</f>
        <v>1</v>
      </c>
      <c r="O32" s="43" t="n">
        <f aca="false">POISSON($A32,Model!$G$54,TRUE())</f>
        <v>0.9999999998734</v>
      </c>
      <c r="P32" s="43" t="n">
        <f aca="false">POISSON($A32,Model!$G$55,TRUE())</f>
        <v>0.999998066709778</v>
      </c>
    </row>
    <row r="33" customFormat="false" ht="15" hidden="false" customHeight="false" outlineLevel="0" collapsed="false">
      <c r="A33" s="7" t="n">
        <v>29</v>
      </c>
      <c r="B33" s="43" t="n">
        <f aca="false">POISSON($A33,Model!B$16,TRUE())</f>
        <v>1</v>
      </c>
      <c r="C33" s="43" t="n">
        <f aca="false">POISSON($A33,Model!C$16,TRUE())</f>
        <v>1</v>
      </c>
      <c r="D33" s="43" t="n">
        <f aca="false">POISSON($A33,Model!D$16,TRUE())</f>
        <v>0.999999999995285</v>
      </c>
      <c r="E33" s="43" t="n">
        <f aca="false">POISSON($A33,Model!E$16,TRUE())</f>
        <v>0.999807166739155</v>
      </c>
      <c r="H33" s="43" t="n">
        <f aca="false">POISSON($A33,Model!$C$46,TRUE())</f>
        <v>1</v>
      </c>
      <c r="I33" s="43" t="n">
        <f aca="false">POISSON($A33,Model!$C$47,TRUE())</f>
        <v>0.999999999995285</v>
      </c>
      <c r="J33" s="43" t="n">
        <f aca="false">POISSON($A33,Model!$C$48,TRUE())</f>
        <v>0.999985846913519</v>
      </c>
      <c r="K33" s="43" t="n">
        <f aca="false">POISSON($A33,Model!$C$53,TRUE())</f>
        <v>1</v>
      </c>
      <c r="L33" s="43" t="n">
        <f aca="false">POISSON($A33,Model!$C$54,TRUE())</f>
        <v>0.999999998514243</v>
      </c>
      <c r="M33" s="43" t="n">
        <f aca="false">POISSON($A33,Model!$C$55,TRUE())</f>
        <v>0.999807166739155</v>
      </c>
      <c r="N33" s="43" t="n">
        <f aca="false">POISSON($A33,Model!$G$53,TRUE())</f>
        <v>1</v>
      </c>
      <c r="O33" s="43" t="n">
        <f aca="false">POISSON($A33,Model!$G$54,TRUE())</f>
        <v>0.999999999972276</v>
      </c>
      <c r="P33" s="43" t="n">
        <f aca="false">POISSON($A33,Model!$G$55,TRUE())</f>
        <v>0.999999334612851</v>
      </c>
    </row>
    <row r="34" customFormat="false" ht="15" hidden="false" customHeight="false" outlineLevel="0" collapsed="false">
      <c r="A34" s="7" t="n">
        <v>30</v>
      </c>
      <c r="B34" s="43" t="n">
        <f aca="false">POISSON($A34,Model!B$16,TRUE())</f>
        <v>1</v>
      </c>
      <c r="C34" s="43" t="n">
        <f aca="false">POISSON($A34,Model!C$16,TRUE())</f>
        <v>1</v>
      </c>
      <c r="D34" s="43" t="n">
        <f aca="false">POISSON($A34,Model!D$16,TRUE())</f>
        <v>0.999999999999071</v>
      </c>
      <c r="E34" s="43" t="n">
        <f aca="false">POISSON($A34,Model!E$16,TRUE())</f>
        <v>0.999913156213185</v>
      </c>
      <c r="H34" s="43" t="n">
        <f aca="false">POISSON($A34,Model!$C$46,TRUE())</f>
        <v>1</v>
      </c>
      <c r="I34" s="43" t="n">
        <f aca="false">POISSON($A34,Model!$C$47,TRUE())</f>
        <v>0.999999999999071</v>
      </c>
      <c r="J34" s="43" t="n">
        <f aca="false">POISSON($A34,Model!$C$48,TRUE())</f>
        <v>0.999994486162319</v>
      </c>
      <c r="K34" s="43" t="n">
        <f aca="false">POISSON($A34,Model!$C$53,TRUE())</f>
        <v>1</v>
      </c>
      <c r="L34" s="43" t="n">
        <f aca="false">POISSON($A34,Model!$C$54,TRUE())</f>
        <v>0.999999999626317</v>
      </c>
      <c r="M34" s="43" t="n">
        <f aca="false">POISSON($A34,Model!$C$55,TRUE())</f>
        <v>0.999913156213185</v>
      </c>
      <c r="N34" s="43" t="n">
        <f aca="false">POISSON($A34,Model!$G$53,TRUE())</f>
        <v>1</v>
      </c>
      <c r="O34" s="43" t="n">
        <f aca="false">POISSON($A34,Model!$G$54,TRUE())</f>
        <v>0.999999999994121</v>
      </c>
      <c r="P34" s="43" t="n">
        <f aca="false">POISSON($A34,Model!$G$55,TRUE())</f>
        <v>0.999999778115436</v>
      </c>
    </row>
    <row r="35" customFormat="false" ht="15" hidden="false" customHeight="false" outlineLevel="0" collapsed="false">
      <c r="A35" s="7" t="n">
        <v>31</v>
      </c>
      <c r="B35" s="43" t="n">
        <f aca="false">POISSON($A35,Model!B$16,TRUE())</f>
        <v>1</v>
      </c>
      <c r="C35" s="43" t="n">
        <f aca="false">POISSON($A35,Model!C$16,TRUE())</f>
        <v>1</v>
      </c>
      <c r="D35" s="43" t="n">
        <f aca="false">POISSON($A35,Model!D$16,TRUE())</f>
        <v>0.999999999999823</v>
      </c>
      <c r="E35" s="43" t="n">
        <f aca="false">POISSON($A35,Model!E$16,TRUE())</f>
        <v>0.999962042774419</v>
      </c>
      <c r="H35" s="43" t="n">
        <f aca="false">POISSON($A35,Model!$C$46,TRUE())</f>
        <v>1</v>
      </c>
      <c r="I35" s="43" t="n">
        <f aca="false">POISSON($A35,Model!$C$47,TRUE())</f>
        <v>0.999999999999823</v>
      </c>
      <c r="J35" s="43" t="n">
        <f aca="false">POISSON($A35,Model!$C$48,TRUE())</f>
        <v>0.999997916137029</v>
      </c>
      <c r="K35" s="43" t="n">
        <f aca="false">POISSON($A35,Model!$C$53,TRUE())</f>
        <v>1</v>
      </c>
      <c r="L35" s="43" t="n">
        <f aca="false">POISSON($A35,Model!$C$54,TRUE())</f>
        <v>0.999999999908889</v>
      </c>
      <c r="M35" s="43" t="n">
        <f aca="false">POISSON($A35,Model!$C$55,TRUE())</f>
        <v>0.999962042774419</v>
      </c>
      <c r="N35" s="43" t="n">
        <f aca="false">POISSON($A35,Model!$G$53,TRUE())</f>
        <v>1</v>
      </c>
      <c r="O35" s="43" t="n">
        <f aca="false">POISSON($A35,Model!$G$54,TRUE())</f>
        <v>0.999999999998792</v>
      </c>
      <c r="P35" s="43" t="n">
        <f aca="false">POISSON($A35,Model!$G$55,TRUE())</f>
        <v>0.999999928244861</v>
      </c>
    </row>
    <row r="36" customFormat="false" ht="15" hidden="false" customHeight="false" outlineLevel="0" collapsed="false">
      <c r="A36" s="7" t="n">
        <v>32</v>
      </c>
      <c r="B36" s="43" t="n">
        <f aca="false">POISSON($A36,Model!B$16,TRUE())</f>
        <v>1</v>
      </c>
      <c r="C36" s="43" t="n">
        <f aca="false">POISSON($A36,Model!C$16,TRUE())</f>
        <v>1</v>
      </c>
      <c r="D36" s="43" t="n">
        <f aca="false">POISSON($A36,Model!D$16,TRUE())</f>
        <v>0.999999999999967</v>
      </c>
      <c r="E36" s="43" t="n">
        <f aca="false">POISSON($A36,Model!E$16,TRUE())</f>
        <v>0.999983886562631</v>
      </c>
      <c r="H36" s="43" t="n">
        <f aca="false">POISSON($A36,Model!$C$46,TRUE())</f>
        <v>1</v>
      </c>
      <c r="I36" s="43" t="n">
        <f aca="false">POISSON($A36,Model!$C$47,TRUE())</f>
        <v>0.999999999999967</v>
      </c>
      <c r="J36" s="43" t="n">
        <f aca="false">POISSON($A36,Model!$C$48,TRUE())</f>
        <v>0.999999235358071</v>
      </c>
      <c r="K36" s="43" t="n">
        <f aca="false">POISSON($A36,Model!$C$53,TRUE())</f>
        <v>1</v>
      </c>
      <c r="L36" s="43" t="n">
        <f aca="false">POISSON($A36,Model!$C$54,TRUE())</f>
        <v>0.999999999978445</v>
      </c>
      <c r="M36" s="43" t="n">
        <f aca="false">POISSON($A36,Model!$C$55,TRUE())</f>
        <v>0.999983886562631</v>
      </c>
      <c r="N36" s="43" t="n">
        <f aca="false">POISSON($A36,Model!$G$53,TRUE())</f>
        <v>1</v>
      </c>
      <c r="O36" s="43" t="n">
        <f aca="false">POISSON($A36,Model!$G$54,TRUE())</f>
        <v>0.999999999999759</v>
      </c>
      <c r="P36" s="43" t="n">
        <f aca="false">POISSON($A36,Model!$G$55,TRUE())</f>
        <v>0.999999977476829</v>
      </c>
    </row>
    <row r="37" customFormat="false" ht="15" hidden="false" customHeight="false" outlineLevel="0" collapsed="false">
      <c r="A37" s="7" t="n">
        <v>33</v>
      </c>
      <c r="B37" s="43" t="n">
        <f aca="false">POISSON($A37,Model!B$16,TRUE())</f>
        <v>1</v>
      </c>
      <c r="C37" s="43" t="n">
        <f aca="false">POISSON($A37,Model!C$16,TRUE())</f>
        <v>1</v>
      </c>
      <c r="D37" s="43" t="n">
        <f aca="false">POISSON($A37,Model!D$16,TRUE())</f>
        <v>0.999999999999994</v>
      </c>
      <c r="E37" s="43" t="n">
        <f aca="false">POISSON($A37,Model!E$16,TRUE())</f>
        <v>0.999993351166972</v>
      </c>
      <c r="H37" s="43" t="n">
        <f aca="false">POISSON($A37,Model!$C$46,TRUE())</f>
        <v>1</v>
      </c>
      <c r="I37" s="43" t="n">
        <f aca="false">POISSON($A37,Model!$C$47,TRUE())</f>
        <v>0.999999999999994</v>
      </c>
      <c r="J37" s="43" t="n">
        <f aca="false">POISSON($A37,Model!$C$48,TRUE())</f>
        <v>0.999999727375243</v>
      </c>
      <c r="K37" s="43" t="n">
        <f aca="false">POISSON($A37,Model!$C$53,TRUE())</f>
        <v>1</v>
      </c>
      <c r="L37" s="43" t="n">
        <f aca="false">POISSON($A37,Model!$C$54,TRUE())</f>
        <v>0.999999999995048</v>
      </c>
      <c r="M37" s="43" t="n">
        <f aca="false">POISSON($A37,Model!$C$55,TRUE())</f>
        <v>0.999993351166972</v>
      </c>
      <c r="N37" s="43" t="n">
        <f aca="false">POISSON($A37,Model!$G$53,TRUE())</f>
        <v>1</v>
      </c>
      <c r="O37" s="43" t="n">
        <f aca="false">POISSON($A37,Model!$G$54,TRUE())</f>
        <v>0.999999999999953</v>
      </c>
      <c r="P37" s="43" t="n">
        <f aca="false">POISSON($A37,Model!$G$55,TRUE())</f>
        <v>0.999999993132245</v>
      </c>
    </row>
    <row r="38" customFormat="false" ht="15" hidden="false" customHeight="false" outlineLevel="0" collapsed="false">
      <c r="A38" s="7" t="n">
        <v>34</v>
      </c>
      <c r="B38" s="43" t="n">
        <f aca="false">POISSON($A38,Model!B$16,TRUE())</f>
        <v>1</v>
      </c>
      <c r="C38" s="43" t="n">
        <f aca="false">POISSON($A38,Model!C$16,TRUE())</f>
        <v>1</v>
      </c>
      <c r="D38" s="43" t="n">
        <f aca="false">POISSON($A38,Model!D$16,TRUE())</f>
        <v>0.999999999999999</v>
      </c>
      <c r="E38" s="43" t="n">
        <f aca="false">POISSON($A38,Model!E$16,TRUE())</f>
        <v>0.999997331432017</v>
      </c>
      <c r="H38" s="43" t="n">
        <f aca="false">POISSON($A38,Model!$C$46,TRUE())</f>
        <v>1</v>
      </c>
      <c r="I38" s="43" t="n">
        <f aca="false">POISSON($A38,Model!$C$47,TRUE())</f>
        <v>0.999999999999999</v>
      </c>
      <c r="J38" s="43" t="n">
        <f aca="false">POISSON($A38,Model!$C$48,TRUE())</f>
        <v>0.999999905481006</v>
      </c>
      <c r="K38" s="43" t="n">
        <f aca="false">POISSON($A38,Model!$C$53,TRUE())</f>
        <v>1</v>
      </c>
      <c r="L38" s="43" t="n">
        <f aca="false">POISSON($A38,Model!$C$54,TRUE())</f>
        <v>0.999999999998894</v>
      </c>
      <c r="M38" s="43" t="n">
        <f aca="false">POISSON($A38,Model!$C$55,TRUE())</f>
        <v>0.999997331432017</v>
      </c>
      <c r="N38" s="43" t="n">
        <f aca="false">POISSON($A38,Model!$G$53,TRUE())</f>
        <v>1</v>
      </c>
      <c r="O38" s="43" t="n">
        <f aca="false">POISSON($A38,Model!$G$54,TRUE())</f>
        <v>0.999999999999991</v>
      </c>
      <c r="P38" s="43" t="n">
        <f aca="false">POISSON($A38,Model!$G$55,TRUE())</f>
        <v>0.999999997964135</v>
      </c>
    </row>
    <row r="39" customFormat="false" ht="15" hidden="false" customHeight="false" outlineLevel="0" collapsed="false">
      <c r="A39" s="7" t="n">
        <v>35</v>
      </c>
      <c r="B39" s="43" t="n">
        <f aca="false">POISSON($A39,Model!B$16,TRUE())</f>
        <v>1</v>
      </c>
      <c r="C39" s="43" t="n">
        <f aca="false">POISSON($A39,Model!C$16,TRUE())</f>
        <v>1</v>
      </c>
      <c r="D39" s="43" t="n">
        <f aca="false">POISSON($A39,Model!D$16,TRUE())</f>
        <v>1</v>
      </c>
      <c r="E39" s="43" t="n">
        <f aca="false">POISSON($A39,Model!E$16,TRUE())</f>
        <v>0.999998957476395</v>
      </c>
      <c r="H39" s="43" t="n">
        <f aca="false">POISSON($A39,Model!$C$46,TRUE())</f>
        <v>1</v>
      </c>
      <c r="I39" s="43" t="n">
        <f aca="false">POISSON($A39,Model!$C$47,TRUE())</f>
        <v>1</v>
      </c>
      <c r="J39" s="43" t="n">
        <f aca="false">POISSON($A39,Model!$C$48,TRUE())</f>
        <v>0.999999968111605</v>
      </c>
      <c r="K39" s="43" t="n">
        <f aca="false">POISSON($A39,Model!$C$53,TRUE())</f>
        <v>1</v>
      </c>
      <c r="L39" s="43" t="n">
        <f aca="false">POISSON($A39,Model!$C$54,TRUE())</f>
        <v>0.99999999999976</v>
      </c>
      <c r="M39" s="43" t="n">
        <f aca="false">POISSON($A39,Model!$C$55,TRUE())</f>
        <v>0.999998957476395</v>
      </c>
      <c r="N39" s="43" t="n">
        <f aca="false">POISSON($A39,Model!$G$53,TRUE())</f>
        <v>1</v>
      </c>
      <c r="O39" s="43" t="n">
        <f aca="false">POISSON($A39,Model!$G$54,TRUE())</f>
        <v>0.999999999999998</v>
      </c>
      <c r="P39" s="43" t="n">
        <f aca="false">POISSON($A39,Model!$G$55,TRUE())</f>
        <v>0.999999999412841</v>
      </c>
    </row>
    <row r="40" customFormat="false" ht="15" hidden="false" customHeight="false" outlineLevel="0" collapsed="false">
      <c r="A40" s="7" t="n">
        <v>36</v>
      </c>
      <c r="B40" s="43" t="n">
        <f aca="false">POISSON($A40,Model!B$16,TRUE())</f>
        <v>1</v>
      </c>
      <c r="C40" s="43" t="n">
        <f aca="false">POISSON($A40,Model!C$16,TRUE())</f>
        <v>1</v>
      </c>
      <c r="D40" s="43" t="n">
        <f aca="false">POISSON($A40,Model!D$16,TRUE())</f>
        <v>1</v>
      </c>
      <c r="E40" s="43" t="n">
        <f aca="false">POISSON($A40,Model!E$16,TRUE())</f>
        <v>0.999999603306581</v>
      </c>
      <c r="H40" s="43" t="n">
        <f aca="false">POISSON($A40,Model!$C$46,TRUE())</f>
        <v>1</v>
      </c>
      <c r="I40" s="43" t="n">
        <f aca="false">POISSON($A40,Model!$C$47,TRUE())</f>
        <v>1</v>
      </c>
      <c r="J40" s="43" t="n">
        <f aca="false">POISSON($A40,Model!$C$48,TRUE())</f>
        <v>0.999999989523775</v>
      </c>
      <c r="K40" s="43" t="n">
        <f aca="false">POISSON($A40,Model!$C$53,TRUE())</f>
        <v>1</v>
      </c>
      <c r="L40" s="43" t="n">
        <f aca="false">POISSON($A40,Model!$C$54,TRUE())</f>
        <v>0.999999999999949</v>
      </c>
      <c r="M40" s="43" t="n">
        <f aca="false">POISSON($A40,Model!$C$55,TRUE())</f>
        <v>0.999999603306581</v>
      </c>
      <c r="N40" s="43" t="n">
        <f aca="false">POISSON($A40,Model!$G$53,TRUE())</f>
        <v>1</v>
      </c>
      <c r="O40" s="43" t="n">
        <f aca="false">POISSON($A40,Model!$G$54,TRUE())</f>
        <v>1</v>
      </c>
      <c r="P40" s="43" t="n">
        <f aca="false">POISSON($A40,Model!$G$55,TRUE())</f>
        <v>0.99999999983513</v>
      </c>
    </row>
    <row r="41" customFormat="false" ht="15" hidden="false" customHeight="false" outlineLevel="0" collapsed="false">
      <c r="A41" s="7" t="n">
        <v>37</v>
      </c>
      <c r="B41" s="43" t="n">
        <f aca="false">POISSON($A41,Model!B$16,TRUE())</f>
        <v>1</v>
      </c>
      <c r="C41" s="43" t="n">
        <f aca="false">POISSON($A41,Model!C$16,TRUE())</f>
        <v>1</v>
      </c>
      <c r="D41" s="43" t="n">
        <f aca="false">POISSON($A41,Model!D$16,TRUE())</f>
        <v>1</v>
      </c>
      <c r="E41" s="43" t="n">
        <f aca="false">POISSON($A41,Model!E$16,TRUE())</f>
        <v>0.999999852883869</v>
      </c>
      <c r="H41" s="43" t="n">
        <f aca="false">POISSON($A41,Model!$C$46,TRUE())</f>
        <v>1</v>
      </c>
      <c r="I41" s="43" t="n">
        <f aca="false">POISSON($A41,Model!$C$47,TRUE())</f>
        <v>1</v>
      </c>
      <c r="J41" s="43" t="n">
        <f aca="false">POISSON($A41,Model!$C$48,TRUE())</f>
        <v>0.999999996646326</v>
      </c>
      <c r="K41" s="43" t="n">
        <f aca="false">POISSON($A41,Model!$C$53,TRUE())</f>
        <v>1</v>
      </c>
      <c r="L41" s="43" t="n">
        <f aca="false">POISSON($A41,Model!$C$54,TRUE())</f>
        <v>0.99999999999999</v>
      </c>
      <c r="M41" s="43" t="n">
        <f aca="false">POISSON($A41,Model!$C$55,TRUE())</f>
        <v>0.999999852883869</v>
      </c>
      <c r="N41" s="43" t="n">
        <f aca="false">POISSON($A41,Model!$G$53,TRUE())</f>
        <v>1</v>
      </c>
      <c r="O41" s="43" t="n">
        <f aca="false">POISSON($A41,Model!$G$54,TRUE())</f>
        <v>1</v>
      </c>
      <c r="P41" s="43" t="n">
        <f aca="false">POISSON($A41,Model!$G$55,TRUE())</f>
        <v>0.999999999954897</v>
      </c>
    </row>
    <row r="42" customFormat="false" ht="15" hidden="false" customHeight="false" outlineLevel="0" collapsed="false">
      <c r="A42" s="7" t="n">
        <v>38</v>
      </c>
      <c r="B42" s="43" t="n">
        <f aca="false">POISSON($A42,Model!B$16,TRUE())</f>
        <v>1</v>
      </c>
      <c r="C42" s="43" t="n">
        <f aca="false">POISSON($A42,Model!C$16,TRUE())</f>
        <v>1</v>
      </c>
      <c r="D42" s="43" t="n">
        <f aca="false">POISSON($A42,Model!D$16,TRUE())</f>
        <v>1</v>
      </c>
      <c r="E42" s="43" t="n">
        <f aca="false">POISSON($A42,Model!E$16,TRUE())</f>
        <v>0.999999946793452</v>
      </c>
      <c r="H42" s="43" t="n">
        <f aca="false">POISSON($A42,Model!$C$46,TRUE())</f>
        <v>1</v>
      </c>
      <c r="I42" s="43" t="n">
        <f aca="false">POISSON($A42,Model!$C$47,TRUE())</f>
        <v>1</v>
      </c>
      <c r="J42" s="43" t="n">
        <f aca="false">POISSON($A42,Model!$C$48,TRUE())</f>
        <v>0.999999998953226</v>
      </c>
      <c r="K42" s="43" t="n">
        <f aca="false">POISSON($A42,Model!$C$53,TRUE())</f>
        <v>1</v>
      </c>
      <c r="L42" s="43" t="n">
        <f aca="false">POISSON($A42,Model!$C$54,TRUE())</f>
        <v>0.999999999999998</v>
      </c>
      <c r="M42" s="43" t="n">
        <f aca="false">POISSON($A42,Model!$C$55,TRUE())</f>
        <v>0.999999946793452</v>
      </c>
      <c r="N42" s="43" t="n">
        <f aca="false">POISSON($A42,Model!$G$53,TRUE())</f>
        <v>1</v>
      </c>
      <c r="O42" s="43" t="n">
        <f aca="false">POISSON($A42,Model!$G$54,TRUE())</f>
        <v>1</v>
      </c>
      <c r="P42" s="43" t="n">
        <f aca="false">POISSON($A42,Model!$G$55,TRUE())</f>
        <v>0.999999999987971</v>
      </c>
    </row>
    <row r="43" customFormat="false" ht="15" hidden="false" customHeight="false" outlineLevel="0" collapsed="false">
      <c r="A43" s="7" t="n">
        <v>39</v>
      </c>
      <c r="B43" s="43" t="n">
        <f aca="false">POISSON($A43,Model!B$16,TRUE())</f>
        <v>1</v>
      </c>
      <c r="C43" s="43" t="n">
        <f aca="false">POISSON($A43,Model!C$16,TRUE())</f>
        <v>1</v>
      </c>
      <c r="D43" s="43" t="n">
        <f aca="false">POISSON($A43,Model!D$16,TRUE())</f>
        <v>1</v>
      </c>
      <c r="E43" s="43" t="n">
        <f aca="false">POISSON($A43,Model!E$16,TRUE())</f>
        <v>0.999999981223193</v>
      </c>
      <c r="H43" s="43" t="n">
        <f aca="false">POISSON($A43,Model!$C$46,TRUE())</f>
        <v>1</v>
      </c>
      <c r="I43" s="43" t="n">
        <f aca="false">POISSON($A43,Model!$C$47,TRUE())</f>
        <v>1</v>
      </c>
      <c r="J43" s="43" t="n">
        <f aca="false">POISSON($A43,Model!$C$48,TRUE())</f>
        <v>0.999999999681241</v>
      </c>
      <c r="K43" s="43" t="n">
        <f aca="false">POISSON($A43,Model!$C$53,TRUE())</f>
        <v>1</v>
      </c>
      <c r="L43" s="43" t="n">
        <f aca="false">POISSON($A43,Model!$C$54,TRUE())</f>
        <v>0.999999999999999</v>
      </c>
      <c r="M43" s="43" t="n">
        <f aca="false">POISSON($A43,Model!$C$55,TRUE())</f>
        <v>0.999999981223193</v>
      </c>
      <c r="N43" s="43" t="n">
        <f aca="false">POISSON($A43,Model!$G$53,TRUE())</f>
        <v>1</v>
      </c>
      <c r="O43" s="43" t="n">
        <f aca="false">POISSON($A43,Model!$G$54,TRUE())</f>
        <v>1</v>
      </c>
      <c r="P43" s="43" t="n">
        <f aca="false">POISSON($A43,Model!$G$55,TRUE())</f>
        <v>0.999999999996871</v>
      </c>
    </row>
    <row r="44" customFormat="false" ht="15" hidden="false" customHeight="false" outlineLevel="0" collapsed="false">
      <c r="A44" s="7" t="n">
        <v>40</v>
      </c>
      <c r="B44" s="43" t="n">
        <f aca="false">POISSON($A44,Model!B$16,TRUE())</f>
        <v>1</v>
      </c>
      <c r="C44" s="43" t="n">
        <f aca="false">POISSON($A44,Model!C$16,TRUE())</f>
        <v>1</v>
      </c>
      <c r="D44" s="43" t="n">
        <f aca="false">POISSON($A44,Model!D$16,TRUE())</f>
        <v>1</v>
      </c>
      <c r="E44" s="43" t="n">
        <f aca="false">POISSON($A44,Model!E$16,TRUE())</f>
        <v>0.999999993530476</v>
      </c>
      <c r="H44" s="43" t="n">
        <f aca="false">POISSON($A44,Model!$C$46,TRUE())</f>
        <v>1</v>
      </c>
      <c r="I44" s="43" t="n">
        <f aca="false">POISSON($A44,Model!$C$47,TRUE())</f>
        <v>1</v>
      </c>
      <c r="J44" s="43" t="n">
        <f aca="false">POISSON($A44,Model!$C$48,TRUE())</f>
        <v>0.999999999905246</v>
      </c>
      <c r="K44" s="43" t="n">
        <f aca="false">POISSON($A44,Model!$C$53,TRUE())</f>
        <v>1</v>
      </c>
      <c r="L44" s="43" t="n">
        <f aca="false">POISSON($A44,Model!$C$54,TRUE())</f>
        <v>1</v>
      </c>
      <c r="M44" s="43" t="n">
        <f aca="false">POISSON($A44,Model!$C$55,TRUE())</f>
        <v>0.999999993530476</v>
      </c>
      <c r="N44" s="43" t="n">
        <f aca="false">POISSON($A44,Model!$G$53,TRUE())</f>
        <v>1</v>
      </c>
      <c r="O44" s="43" t="n">
        <f aca="false">POISSON($A44,Model!$G$54,TRUE())</f>
        <v>1</v>
      </c>
      <c r="P44" s="43" t="n">
        <f aca="false">POISSON($A44,Model!$G$55,TRUE())</f>
        <v>0.999999999999205</v>
      </c>
    </row>
    <row r="45" customFormat="false" ht="15" hidden="false" customHeight="false" outlineLevel="0" collapsed="false">
      <c r="A45" s="7" t="n">
        <v>41</v>
      </c>
      <c r="B45" s="43" t="n">
        <f aca="false">POISSON($A45,Model!B$16,TRUE())</f>
        <v>1</v>
      </c>
      <c r="C45" s="43" t="n">
        <f aca="false">POISSON($A45,Model!C$16,TRUE())</f>
        <v>1</v>
      </c>
      <c r="D45" s="43" t="n">
        <f aca="false">POISSON($A45,Model!D$16,TRUE())</f>
        <v>1</v>
      </c>
      <c r="E45" s="43" t="n">
        <f aca="false">POISSON($A45,Model!E$16,TRUE())</f>
        <v>0.999999997822546</v>
      </c>
      <c r="H45" s="43" t="n">
        <f aca="false">POISSON($A45,Model!$C$46,TRUE())</f>
        <v>1</v>
      </c>
      <c r="I45" s="43" t="n">
        <f aca="false">POISSON($A45,Model!$C$47,TRUE())</f>
        <v>1</v>
      </c>
      <c r="J45" s="43" t="n">
        <f aca="false">POISSON($A45,Model!$C$48,TRUE())</f>
        <v>0.999999999972489</v>
      </c>
      <c r="K45" s="43" t="n">
        <f aca="false">POISSON($A45,Model!$C$53,TRUE())</f>
        <v>1</v>
      </c>
      <c r="L45" s="43" t="n">
        <f aca="false">POISSON($A45,Model!$C$54,TRUE())</f>
        <v>1</v>
      </c>
      <c r="M45" s="43" t="n">
        <f aca="false">POISSON($A45,Model!$C$55,TRUE())</f>
        <v>0.999999997822546</v>
      </c>
      <c r="N45" s="43" t="n">
        <f aca="false">POISSON($A45,Model!$G$53,TRUE())</f>
        <v>1</v>
      </c>
      <c r="O45" s="43" t="n">
        <f aca="false">POISSON($A45,Model!$G$54,TRUE())</f>
        <v>1</v>
      </c>
      <c r="P45" s="43" t="n">
        <f aca="false">POISSON($A45,Model!$G$55,TRUE())</f>
        <v>0.999999999999803</v>
      </c>
    </row>
    <row r="46" customFormat="false" ht="15" hidden="false" customHeight="false" outlineLevel="0" collapsed="false">
      <c r="A46" s="7" t="n">
        <v>42</v>
      </c>
      <c r="B46" s="43" t="n">
        <f aca="false">POISSON($A46,Model!B$16,TRUE())</f>
        <v>1</v>
      </c>
      <c r="C46" s="43" t="n">
        <f aca="false">POISSON($A46,Model!C$16,TRUE())</f>
        <v>1</v>
      </c>
      <c r="D46" s="43" t="n">
        <f aca="false">POISSON($A46,Model!D$16,TRUE())</f>
        <v>1</v>
      </c>
      <c r="E46" s="43" t="n">
        <f aca="false">POISSON($A46,Model!E$16,TRUE())</f>
        <v>0.999999999283734</v>
      </c>
      <c r="H46" s="43" t="n">
        <f aca="false">POISSON($A46,Model!$C$46,TRUE())</f>
        <v>1</v>
      </c>
      <c r="I46" s="43" t="n">
        <f aca="false">POISSON($A46,Model!$C$47,TRUE())</f>
        <v>1</v>
      </c>
      <c r="J46" s="43" t="n">
        <f aca="false">POISSON($A46,Model!$C$48,TRUE())</f>
        <v>0.999999999992194</v>
      </c>
      <c r="K46" s="43" t="n">
        <f aca="false">POISSON($A46,Model!$C$53,TRUE())</f>
        <v>1</v>
      </c>
      <c r="L46" s="43" t="n">
        <f aca="false">POISSON($A46,Model!$C$54,TRUE())</f>
        <v>1</v>
      </c>
      <c r="M46" s="43" t="n">
        <f aca="false">POISSON($A46,Model!$C$55,TRUE())</f>
        <v>0.999999999283734</v>
      </c>
      <c r="N46" s="43" t="n">
        <f aca="false">POISSON($A46,Model!$G$53,TRUE())</f>
        <v>1</v>
      </c>
      <c r="O46" s="43" t="n">
        <f aca="false">POISSON($A46,Model!$G$54,TRUE())</f>
        <v>1</v>
      </c>
      <c r="P46" s="43" t="n">
        <f aca="false">POISSON($A46,Model!$G$55,TRUE())</f>
        <v>0.999999999999952</v>
      </c>
    </row>
    <row r="47" customFormat="false" ht="15" hidden="false" customHeight="false" outlineLevel="0" collapsed="false">
      <c r="A47" s="7" t="n">
        <v>43</v>
      </c>
      <c r="B47" s="43" t="n">
        <f aca="false">POISSON($A47,Model!B$16,TRUE())</f>
        <v>1</v>
      </c>
      <c r="C47" s="43" t="n">
        <f aca="false">POISSON($A47,Model!C$16,TRUE())</f>
        <v>1</v>
      </c>
      <c r="D47" s="43" t="n">
        <f aca="false">POISSON($A47,Model!D$16,TRUE())</f>
        <v>1</v>
      </c>
      <c r="E47" s="43" t="n">
        <f aca="false">POISSON($A47,Model!E$16,TRUE())</f>
        <v>0.99999999976961</v>
      </c>
      <c r="H47" s="43" t="n">
        <f aca="false">POISSON($A47,Model!$C$46,TRUE())</f>
        <v>1</v>
      </c>
      <c r="I47" s="43" t="n">
        <f aca="false">POISSON($A47,Model!$C$47,TRUE())</f>
        <v>1</v>
      </c>
      <c r="J47" s="43" t="n">
        <f aca="false">POISSON($A47,Model!$C$48,TRUE())</f>
        <v>0.999999999997835</v>
      </c>
      <c r="K47" s="43" t="n">
        <f aca="false">POISSON($A47,Model!$C$53,TRUE())</f>
        <v>1</v>
      </c>
      <c r="L47" s="43" t="n">
        <f aca="false">POISSON($A47,Model!$C$54,TRUE())</f>
        <v>1</v>
      </c>
      <c r="M47" s="43" t="n">
        <f aca="false">POISSON($A47,Model!$C$55,TRUE())</f>
        <v>0.99999999976961</v>
      </c>
      <c r="N47" s="43" t="n">
        <f aca="false">POISSON($A47,Model!$G$53,TRUE())</f>
        <v>1</v>
      </c>
      <c r="O47" s="43" t="n">
        <f aca="false">POISSON($A47,Model!$G$54,TRUE())</f>
        <v>1</v>
      </c>
      <c r="P47" s="43" t="n">
        <f aca="false">POISSON($A47,Model!$G$55,TRUE())</f>
        <v>0.999999999999989</v>
      </c>
    </row>
    <row r="48" customFormat="false" ht="15" hidden="false" customHeight="false" outlineLevel="0" collapsed="false">
      <c r="A48" s="7" t="n">
        <v>44</v>
      </c>
      <c r="B48" s="43" t="n">
        <f aca="false">POISSON($A48,Model!B$16,TRUE())</f>
        <v>1</v>
      </c>
      <c r="C48" s="43" t="n">
        <f aca="false">POISSON($A48,Model!C$16,TRUE())</f>
        <v>1</v>
      </c>
      <c r="D48" s="43" t="n">
        <f aca="false">POISSON($A48,Model!D$16,TRUE())</f>
        <v>1</v>
      </c>
      <c r="E48" s="43" t="n">
        <f aca="false">POISSON($A48,Model!E$16,TRUE())</f>
        <v>0.999999999927503</v>
      </c>
      <c r="H48" s="43" t="n">
        <f aca="false">POISSON($A48,Model!$C$46,TRUE())</f>
        <v>1</v>
      </c>
      <c r="I48" s="43" t="n">
        <f aca="false">POISSON($A48,Model!$C$47,TRUE())</f>
        <v>1</v>
      </c>
      <c r="J48" s="43" t="n">
        <f aca="false">POISSON($A48,Model!$C$48,TRUE())</f>
        <v>0.999999999999412</v>
      </c>
      <c r="K48" s="43" t="n">
        <f aca="false">POISSON($A48,Model!$C$53,TRUE())</f>
        <v>1</v>
      </c>
      <c r="L48" s="43" t="n">
        <f aca="false">POISSON($A48,Model!$C$54,TRUE())</f>
        <v>1</v>
      </c>
      <c r="M48" s="43" t="n">
        <f aca="false">POISSON($A48,Model!$C$55,TRUE())</f>
        <v>0.999999999927503</v>
      </c>
      <c r="N48" s="43" t="n">
        <f aca="false">POISSON($A48,Model!$G$53,TRUE())</f>
        <v>1</v>
      </c>
      <c r="O48" s="43" t="n">
        <f aca="false">POISSON($A48,Model!$G$54,TRUE())</f>
        <v>1</v>
      </c>
      <c r="P48" s="43" t="n">
        <f aca="false">POISSON($A48,Model!$G$55,TRUE())</f>
        <v>0.999999999999997</v>
      </c>
    </row>
    <row r="49" customFormat="false" ht="15" hidden="false" customHeight="false" outlineLevel="0" collapsed="false">
      <c r="A49" s="7" t="n">
        <v>45</v>
      </c>
      <c r="B49" s="43" t="n">
        <f aca="false">POISSON($A49,Model!B$16,TRUE())</f>
        <v>1</v>
      </c>
      <c r="C49" s="43" t="n">
        <f aca="false">POISSON($A49,Model!C$16,TRUE())</f>
        <v>1</v>
      </c>
      <c r="D49" s="43" t="n">
        <f aca="false">POISSON($A49,Model!D$16,TRUE())</f>
        <v>1</v>
      </c>
      <c r="E49" s="43" t="n">
        <f aca="false">POISSON($A49,Model!E$16,TRUE())</f>
        <v>0.999999999977672</v>
      </c>
      <c r="H49" s="43" t="n">
        <f aca="false">POISSON($A49,Model!$C$46,TRUE())</f>
        <v>1</v>
      </c>
      <c r="I49" s="43" t="n">
        <f aca="false">POISSON($A49,Model!$C$47,TRUE())</f>
        <v>1</v>
      </c>
      <c r="J49" s="43" t="n">
        <f aca="false">POISSON($A49,Model!$C$48,TRUE())</f>
        <v>0.999999999999844</v>
      </c>
      <c r="K49" s="43" t="n">
        <f aca="false">POISSON($A49,Model!$C$53,TRUE())</f>
        <v>1</v>
      </c>
      <c r="L49" s="43" t="n">
        <f aca="false">POISSON($A49,Model!$C$54,TRUE())</f>
        <v>1</v>
      </c>
      <c r="M49" s="43" t="n">
        <f aca="false">POISSON($A49,Model!$C$55,TRUE())</f>
        <v>0.999999999977672</v>
      </c>
      <c r="N49" s="43" t="n">
        <f aca="false">POISSON($A49,Model!$G$53,TRUE())</f>
        <v>1</v>
      </c>
      <c r="O49" s="43" t="n">
        <f aca="false">POISSON($A49,Model!$G$54,TRUE())</f>
        <v>1</v>
      </c>
      <c r="P49" s="43" t="n">
        <f aca="false">POISSON($A49,Model!$G$55,TRUE())</f>
        <v>0.999999999999999</v>
      </c>
    </row>
    <row r="50" customFormat="false" ht="15" hidden="false" customHeight="false" outlineLevel="0" collapsed="false">
      <c r="A50" s="7" t="n">
        <v>46</v>
      </c>
      <c r="B50" s="43" t="n">
        <f aca="false">POISSON($A50,Model!B$16,TRUE())</f>
        <v>1</v>
      </c>
      <c r="C50" s="43" t="n">
        <f aca="false">POISSON($A50,Model!C$16,TRUE())</f>
        <v>1</v>
      </c>
      <c r="D50" s="43" t="n">
        <f aca="false">POISSON($A50,Model!D$16,TRUE())</f>
        <v>1</v>
      </c>
      <c r="E50" s="43" t="n">
        <f aca="false">POISSON($A50,Model!E$16,TRUE())</f>
        <v>0.999999999993267</v>
      </c>
      <c r="H50" s="43" t="n">
        <f aca="false">POISSON($A50,Model!$C$46,TRUE())</f>
        <v>1</v>
      </c>
      <c r="I50" s="43" t="n">
        <f aca="false">POISSON($A50,Model!$C$47,TRUE())</f>
        <v>1</v>
      </c>
      <c r="J50" s="43" t="n">
        <f aca="false">POISSON($A50,Model!$C$48,TRUE())</f>
        <v>0.999999999999959</v>
      </c>
      <c r="K50" s="43" t="n">
        <f aca="false">POISSON($A50,Model!$C$53,TRUE())</f>
        <v>1</v>
      </c>
      <c r="L50" s="43" t="n">
        <f aca="false">POISSON($A50,Model!$C$54,TRUE())</f>
        <v>1</v>
      </c>
      <c r="M50" s="43" t="n">
        <f aca="false">POISSON($A50,Model!$C$55,TRUE())</f>
        <v>0.999999999993267</v>
      </c>
      <c r="N50" s="43" t="n">
        <f aca="false">POISSON($A50,Model!$G$53,TRUE())</f>
        <v>1</v>
      </c>
      <c r="O50" s="43" t="n">
        <f aca="false">POISSON($A50,Model!$G$54,TRUE())</f>
        <v>1</v>
      </c>
      <c r="P50" s="43" t="n">
        <f aca="false">POISSON($A50,Model!$G$55,TRUE())</f>
        <v>1</v>
      </c>
    </row>
    <row r="51" customFormat="false" ht="15" hidden="false" customHeight="false" outlineLevel="0" collapsed="false">
      <c r="A51" s="7" t="n">
        <v>47</v>
      </c>
      <c r="B51" s="43" t="n">
        <f aca="false">POISSON($A51,Model!B$16,TRUE())</f>
        <v>1</v>
      </c>
      <c r="C51" s="43" t="n">
        <f aca="false">POISSON($A51,Model!C$16,TRUE())</f>
        <v>1</v>
      </c>
      <c r="D51" s="43" t="n">
        <f aca="false">POISSON($A51,Model!D$16,TRUE())</f>
        <v>1</v>
      </c>
      <c r="E51" s="43" t="n">
        <f aca="false">POISSON($A51,Model!E$16,TRUE())</f>
        <v>0.999999999998011</v>
      </c>
      <c r="H51" s="43" t="n">
        <f aca="false">POISSON($A51,Model!$C$46,TRUE())</f>
        <v>1</v>
      </c>
      <c r="I51" s="43" t="n">
        <f aca="false">POISSON($A51,Model!$C$47,TRUE())</f>
        <v>1</v>
      </c>
      <c r="J51" s="43" t="n">
        <f aca="false">POISSON($A51,Model!$C$48,TRUE())</f>
        <v>0.999999999999989</v>
      </c>
      <c r="K51" s="43" t="n">
        <f aca="false">POISSON($A51,Model!$C$53,TRUE())</f>
        <v>1</v>
      </c>
      <c r="L51" s="43" t="n">
        <f aca="false">POISSON($A51,Model!$C$54,TRUE())</f>
        <v>1</v>
      </c>
      <c r="M51" s="43" t="n">
        <f aca="false">POISSON($A51,Model!$C$55,TRUE())</f>
        <v>0.999999999998011</v>
      </c>
      <c r="N51" s="43" t="n">
        <f aca="false">POISSON($A51,Model!$G$53,TRUE())</f>
        <v>1</v>
      </c>
      <c r="O51" s="43" t="n">
        <f aca="false">POISSON($A51,Model!$G$54,TRUE())</f>
        <v>1</v>
      </c>
      <c r="P51" s="43" t="n">
        <f aca="false">POISSON($A51,Model!$G$55,TRUE())</f>
        <v>1</v>
      </c>
    </row>
    <row r="52" customFormat="false" ht="15" hidden="false" customHeight="false" outlineLevel="0" collapsed="false">
      <c r="A52" s="7" t="n">
        <v>48</v>
      </c>
      <c r="B52" s="43" t="n">
        <f aca="false">POISSON($A52,Model!B$16,TRUE())</f>
        <v>1</v>
      </c>
      <c r="C52" s="43" t="n">
        <f aca="false">POISSON($A52,Model!C$16,TRUE())</f>
        <v>1</v>
      </c>
      <c r="D52" s="43" t="n">
        <f aca="false">POISSON($A52,Model!D$16,TRUE())</f>
        <v>1</v>
      </c>
      <c r="E52" s="43" t="n">
        <f aca="false">POISSON($A52,Model!E$16,TRUE())</f>
        <v>0.999999999999424</v>
      </c>
      <c r="H52" s="43" t="n">
        <f aca="false">POISSON($A52,Model!$C$46,TRUE())</f>
        <v>1</v>
      </c>
      <c r="I52" s="43" t="n">
        <f aca="false">POISSON($A52,Model!$C$47,TRUE())</f>
        <v>1</v>
      </c>
      <c r="J52" s="43" t="n">
        <f aca="false">POISSON($A52,Model!$C$48,TRUE())</f>
        <v>0.999999999999997</v>
      </c>
      <c r="K52" s="43" t="n">
        <f aca="false">POISSON($A52,Model!$C$53,TRUE())</f>
        <v>1</v>
      </c>
      <c r="L52" s="43" t="n">
        <f aca="false">POISSON($A52,Model!$C$54,TRUE())</f>
        <v>1</v>
      </c>
      <c r="M52" s="43" t="n">
        <f aca="false">POISSON($A52,Model!$C$55,TRUE())</f>
        <v>0.999999999999424</v>
      </c>
      <c r="N52" s="43" t="n">
        <f aca="false">POISSON($A52,Model!$G$53,TRUE())</f>
        <v>1</v>
      </c>
      <c r="O52" s="43" t="n">
        <f aca="false">POISSON($A52,Model!$G$54,TRUE())</f>
        <v>1</v>
      </c>
      <c r="P52" s="43" t="n">
        <f aca="false">POISSON($A52,Model!$G$55,TRUE())</f>
        <v>1</v>
      </c>
    </row>
    <row r="53" customFormat="false" ht="15" hidden="false" customHeight="false" outlineLevel="0" collapsed="false">
      <c r="A53" s="7" t="n">
        <v>49</v>
      </c>
      <c r="B53" s="43" t="n">
        <f aca="false">POISSON($A53,Model!B$16,TRUE())</f>
        <v>1</v>
      </c>
      <c r="C53" s="43" t="n">
        <f aca="false">POISSON($A53,Model!C$16,TRUE())</f>
        <v>1</v>
      </c>
      <c r="D53" s="43" t="n">
        <f aca="false">POISSON($A53,Model!D$16,TRUE())</f>
        <v>1</v>
      </c>
      <c r="E53" s="43" t="n">
        <f aca="false">POISSON($A53,Model!E$16,TRUE())</f>
        <v>0.999999999999836</v>
      </c>
      <c r="H53" s="43" t="n">
        <f aca="false">POISSON($A53,Model!$C$46,TRUE())</f>
        <v>1</v>
      </c>
      <c r="I53" s="43" t="n">
        <f aca="false">POISSON($A53,Model!$C$47,TRUE())</f>
        <v>1</v>
      </c>
      <c r="J53" s="43" t="n">
        <f aca="false">POISSON($A53,Model!$C$48,TRUE())</f>
        <v>0.999999999999999</v>
      </c>
      <c r="K53" s="43" t="n">
        <f aca="false">POISSON($A53,Model!$C$53,TRUE())</f>
        <v>1</v>
      </c>
      <c r="L53" s="43" t="n">
        <f aca="false">POISSON($A53,Model!$C$54,TRUE())</f>
        <v>1</v>
      </c>
      <c r="M53" s="43" t="n">
        <f aca="false">POISSON($A53,Model!$C$55,TRUE())</f>
        <v>0.999999999999836</v>
      </c>
      <c r="N53" s="43" t="n">
        <f aca="false">POISSON($A53,Model!$G$53,TRUE())</f>
        <v>1</v>
      </c>
      <c r="O53" s="43" t="n">
        <f aca="false">POISSON($A53,Model!$G$54,TRUE())</f>
        <v>1</v>
      </c>
      <c r="P53" s="43" t="n">
        <f aca="false">POISSON($A53,Model!$G$55,TRUE())</f>
        <v>1</v>
      </c>
    </row>
    <row r="54" customFormat="false" ht="15" hidden="false" customHeight="false" outlineLevel="0" collapsed="false">
      <c r="A54" s="7" t="n">
        <v>50</v>
      </c>
      <c r="B54" s="43" t="n">
        <f aca="false">POISSON($A54,Model!B$16,TRUE())</f>
        <v>1</v>
      </c>
      <c r="C54" s="43" t="n">
        <f aca="false">POISSON($A54,Model!C$16,TRUE())</f>
        <v>1</v>
      </c>
      <c r="D54" s="43" t="n">
        <f aca="false">POISSON($A54,Model!D$16,TRUE())</f>
        <v>1</v>
      </c>
      <c r="E54" s="43" t="n">
        <f aca="false">POISSON($A54,Model!E$16,TRUE())</f>
        <v>0.999999999999954</v>
      </c>
      <c r="H54" s="43" t="n">
        <f aca="false">POISSON($A54,Model!$C$46,TRUE())</f>
        <v>1</v>
      </c>
      <c r="I54" s="43" t="n">
        <f aca="false">POISSON($A54,Model!$C$47,TRUE())</f>
        <v>1</v>
      </c>
      <c r="J54" s="43" t="n">
        <f aca="false">POISSON($A54,Model!$C$48,TRUE())</f>
        <v>0.999999999999999</v>
      </c>
      <c r="K54" s="43" t="n">
        <f aca="false">POISSON($A54,Model!$C$53,TRUE())</f>
        <v>1</v>
      </c>
      <c r="L54" s="43" t="n">
        <f aca="false">POISSON($A54,Model!$C$54,TRUE())</f>
        <v>1</v>
      </c>
      <c r="M54" s="43" t="n">
        <f aca="false">POISSON($A54,Model!$C$55,TRUE())</f>
        <v>0.999999999999954</v>
      </c>
      <c r="N54" s="43" t="n">
        <f aca="false">POISSON($A54,Model!$G$53,TRUE())</f>
        <v>1</v>
      </c>
      <c r="O54" s="43" t="n">
        <f aca="false">POISSON($A54,Model!$G$54,TRUE())</f>
        <v>1</v>
      </c>
      <c r="P54" s="43" t="n">
        <f aca="false">POISSON($A54,Model!$G$55,TRUE())</f>
        <v>1</v>
      </c>
    </row>
    <row r="55" customFormat="false" ht="15" hidden="false" customHeight="false" outlineLevel="0" collapsed="false">
      <c r="A55" s="7" t="n">
        <v>51</v>
      </c>
      <c r="B55" s="43" t="n">
        <f aca="false">POISSON($A55,Model!B$16,TRUE())</f>
        <v>1</v>
      </c>
      <c r="C55" s="43" t="n">
        <f aca="false">POISSON($A55,Model!C$16,TRUE())</f>
        <v>1</v>
      </c>
      <c r="D55" s="43" t="n">
        <f aca="false">POISSON($A55,Model!D$16,TRUE())</f>
        <v>1</v>
      </c>
      <c r="E55" s="43" t="n">
        <f aca="false">POISSON($A55,Model!E$16,TRUE())</f>
        <v>0.999999999999987</v>
      </c>
      <c r="H55" s="43" t="n">
        <f aca="false">POISSON($A55,Model!$C$46,TRUE())</f>
        <v>1</v>
      </c>
      <c r="I55" s="43" t="n">
        <f aca="false">POISSON($A55,Model!$C$47,TRUE())</f>
        <v>1</v>
      </c>
      <c r="J55" s="43" t="n">
        <f aca="false">POISSON($A55,Model!$C$48,TRUE())</f>
        <v>1</v>
      </c>
      <c r="K55" s="43" t="n">
        <f aca="false">POISSON($A55,Model!$C$53,TRUE())</f>
        <v>1</v>
      </c>
      <c r="L55" s="43" t="n">
        <f aca="false">POISSON($A55,Model!$C$54,TRUE())</f>
        <v>1</v>
      </c>
      <c r="M55" s="43" t="n">
        <f aca="false">POISSON($A55,Model!$C$55,TRUE())</f>
        <v>0.999999999999987</v>
      </c>
      <c r="N55" s="43" t="n">
        <f aca="false">POISSON($A55,Model!$G$53,TRUE())</f>
        <v>1</v>
      </c>
      <c r="O55" s="43" t="n">
        <f aca="false">POISSON($A55,Model!$G$54,TRUE())</f>
        <v>1</v>
      </c>
      <c r="P55" s="43" t="n">
        <f aca="false">POISSON($A55,Model!$G$55,TRUE())</f>
        <v>1</v>
      </c>
    </row>
    <row r="56" customFormat="false" ht="15" hidden="false" customHeight="false" outlineLevel="0" collapsed="false">
      <c r="A56" s="7" t="n">
        <v>52</v>
      </c>
      <c r="B56" s="43" t="n">
        <f aca="false">POISSON($A56,Model!B$16,TRUE())</f>
        <v>1</v>
      </c>
      <c r="C56" s="43" t="n">
        <f aca="false">POISSON($A56,Model!C$16,TRUE())</f>
        <v>1</v>
      </c>
      <c r="D56" s="43" t="n">
        <f aca="false">POISSON($A56,Model!D$16,TRUE())</f>
        <v>1</v>
      </c>
      <c r="E56" s="43" t="n">
        <f aca="false">POISSON($A56,Model!E$16,TRUE())</f>
        <v>0.999999999999996</v>
      </c>
      <c r="H56" s="43" t="n">
        <f aca="false">POISSON($A56,Model!$C$46,TRUE())</f>
        <v>1</v>
      </c>
      <c r="I56" s="43" t="n">
        <f aca="false">POISSON($A56,Model!$C$47,TRUE())</f>
        <v>1</v>
      </c>
      <c r="J56" s="43" t="n">
        <f aca="false">POISSON($A56,Model!$C$48,TRUE())</f>
        <v>1</v>
      </c>
      <c r="K56" s="43" t="n">
        <f aca="false">POISSON($A56,Model!$C$53,TRUE())</f>
        <v>1</v>
      </c>
      <c r="L56" s="43" t="n">
        <f aca="false">POISSON($A56,Model!$C$54,TRUE())</f>
        <v>1</v>
      </c>
      <c r="M56" s="43" t="n">
        <f aca="false">POISSON($A56,Model!$C$55,TRUE())</f>
        <v>0.999999999999996</v>
      </c>
      <c r="N56" s="43" t="n">
        <f aca="false">POISSON($A56,Model!$G$53,TRUE())</f>
        <v>1</v>
      </c>
      <c r="O56" s="43" t="n">
        <f aca="false">POISSON($A56,Model!$G$54,TRUE())</f>
        <v>1</v>
      </c>
      <c r="P56" s="43" t="n">
        <f aca="false">POISSON($A56,Model!$G$55,TRUE())</f>
        <v>1</v>
      </c>
    </row>
    <row r="57" customFormat="false" ht="15" hidden="false" customHeight="false" outlineLevel="0" collapsed="false">
      <c r="A57" s="7" t="n">
        <v>53</v>
      </c>
      <c r="B57" s="43" t="n">
        <f aca="false">POISSON($A57,Model!B$16,TRUE())</f>
        <v>1</v>
      </c>
      <c r="C57" s="43" t="n">
        <f aca="false">POISSON($A57,Model!C$16,TRUE())</f>
        <v>1</v>
      </c>
      <c r="D57" s="43" t="n">
        <f aca="false">POISSON($A57,Model!D$16,TRUE())</f>
        <v>1</v>
      </c>
      <c r="E57" s="43" t="n">
        <f aca="false">POISSON($A57,Model!E$16,TRUE())</f>
        <v>0.999999999999999</v>
      </c>
      <c r="H57" s="43" t="n">
        <f aca="false">POISSON($A57,Model!$C$46,TRUE())</f>
        <v>1</v>
      </c>
      <c r="I57" s="43" t="n">
        <f aca="false">POISSON($A57,Model!$C$47,TRUE())</f>
        <v>1</v>
      </c>
      <c r="J57" s="43" t="n">
        <f aca="false">POISSON($A57,Model!$C$48,TRUE())</f>
        <v>1</v>
      </c>
      <c r="K57" s="43" t="n">
        <f aca="false">POISSON($A57,Model!$C$53,TRUE())</f>
        <v>1</v>
      </c>
      <c r="L57" s="43" t="n">
        <f aca="false">POISSON($A57,Model!$C$54,TRUE())</f>
        <v>1</v>
      </c>
      <c r="M57" s="43" t="n">
        <f aca="false">POISSON($A57,Model!$C$55,TRUE())</f>
        <v>0.999999999999999</v>
      </c>
      <c r="N57" s="43" t="n">
        <f aca="false">POISSON($A57,Model!$G$53,TRUE())</f>
        <v>1</v>
      </c>
      <c r="O57" s="43" t="n">
        <f aca="false">POISSON($A57,Model!$G$54,TRUE())</f>
        <v>1</v>
      </c>
      <c r="P57" s="43" t="n">
        <f aca="false">POISSON($A57,Model!$G$55,TRUE())</f>
        <v>1</v>
      </c>
    </row>
    <row r="58" customFormat="false" ht="15" hidden="false" customHeight="false" outlineLevel="0" collapsed="false">
      <c r="A58" s="7" t="n">
        <v>54</v>
      </c>
      <c r="B58" s="43" t="n">
        <f aca="false">POISSON($A58,Model!B$16,TRUE())</f>
        <v>1</v>
      </c>
      <c r="C58" s="43" t="n">
        <f aca="false">POISSON($A58,Model!C$16,TRUE())</f>
        <v>1</v>
      </c>
      <c r="D58" s="43" t="n">
        <f aca="false">POISSON($A58,Model!D$16,TRUE())</f>
        <v>1</v>
      </c>
      <c r="E58" s="43" t="n">
        <f aca="false">POISSON($A58,Model!E$16,TRUE())</f>
        <v>0.999999999999999</v>
      </c>
      <c r="H58" s="43" t="n">
        <f aca="false">POISSON($A58,Model!$C$46,TRUE())</f>
        <v>1</v>
      </c>
      <c r="I58" s="43" t="n">
        <f aca="false">POISSON($A58,Model!$C$47,TRUE())</f>
        <v>1</v>
      </c>
      <c r="J58" s="43" t="n">
        <f aca="false">POISSON($A58,Model!$C$48,TRUE())</f>
        <v>1</v>
      </c>
      <c r="K58" s="43" t="n">
        <f aca="false">POISSON($A58,Model!$C$53,TRUE())</f>
        <v>1</v>
      </c>
      <c r="L58" s="43" t="n">
        <f aca="false">POISSON($A58,Model!$C$54,TRUE())</f>
        <v>1</v>
      </c>
      <c r="M58" s="43" t="n">
        <f aca="false">POISSON($A58,Model!$C$55,TRUE())</f>
        <v>0.999999999999999</v>
      </c>
      <c r="N58" s="43" t="n">
        <f aca="false">POISSON($A58,Model!$G$53,TRUE())</f>
        <v>1</v>
      </c>
      <c r="O58" s="43" t="n">
        <f aca="false">POISSON($A58,Model!$G$54,TRUE())</f>
        <v>1</v>
      </c>
      <c r="P58" s="43" t="n">
        <f aca="false">POISSON($A58,Model!$G$55,TRUE())</f>
        <v>1</v>
      </c>
    </row>
    <row r="59" customFormat="false" ht="15" hidden="false" customHeight="false" outlineLevel="0" collapsed="false">
      <c r="A59" s="7" t="n">
        <v>55</v>
      </c>
      <c r="B59" s="43" t="n">
        <f aca="false">POISSON($A59,Model!B$16,TRUE())</f>
        <v>1</v>
      </c>
      <c r="C59" s="43" t="n">
        <f aca="false">POISSON($A59,Model!C$16,TRUE())</f>
        <v>1</v>
      </c>
      <c r="D59" s="43" t="n">
        <f aca="false">POISSON($A59,Model!D$16,TRUE())</f>
        <v>1</v>
      </c>
      <c r="E59" s="43" t="n">
        <f aca="false">POISSON($A59,Model!E$16,TRUE())</f>
        <v>1</v>
      </c>
      <c r="H59" s="43" t="n">
        <f aca="false">POISSON($A59,Model!$C$46,TRUE())</f>
        <v>1</v>
      </c>
      <c r="I59" s="43" t="n">
        <f aca="false">POISSON($A59,Model!$C$47,TRUE())</f>
        <v>1</v>
      </c>
      <c r="J59" s="43" t="n">
        <f aca="false">POISSON($A59,Model!$C$48,TRUE())</f>
        <v>1</v>
      </c>
      <c r="K59" s="43" t="n">
        <f aca="false">POISSON($A59,Model!$C$53,TRUE())</f>
        <v>1</v>
      </c>
      <c r="L59" s="43" t="n">
        <f aca="false">POISSON($A59,Model!$C$54,TRUE())</f>
        <v>1</v>
      </c>
      <c r="M59" s="43" t="n">
        <f aca="false">POISSON($A59,Model!$C$55,TRUE())</f>
        <v>1</v>
      </c>
      <c r="N59" s="43" t="n">
        <f aca="false">POISSON($A59,Model!$G$53,TRUE())</f>
        <v>1</v>
      </c>
      <c r="O59" s="43" t="n">
        <f aca="false">POISSON($A59,Model!$G$54,TRUE())</f>
        <v>1</v>
      </c>
      <c r="P59" s="43" t="n">
        <f aca="false">POISSON($A59,Model!$G$55,TRUE())</f>
        <v>1</v>
      </c>
    </row>
    <row r="60" customFormat="false" ht="15" hidden="false" customHeight="false" outlineLevel="0" collapsed="false">
      <c r="A60" s="7" t="n">
        <v>56</v>
      </c>
      <c r="B60" s="43" t="n">
        <f aca="false">POISSON($A60,Model!B$16,TRUE())</f>
        <v>1</v>
      </c>
      <c r="C60" s="43" t="n">
        <f aca="false">POISSON($A60,Model!C$16,TRUE())</f>
        <v>1</v>
      </c>
      <c r="D60" s="43" t="n">
        <f aca="false">POISSON($A60,Model!D$16,TRUE())</f>
        <v>1</v>
      </c>
      <c r="E60" s="43" t="n">
        <f aca="false">POISSON($A60,Model!E$16,TRUE())</f>
        <v>1</v>
      </c>
      <c r="H60" s="43" t="n">
        <f aca="false">POISSON($A60,Model!$C$46,TRUE())</f>
        <v>1</v>
      </c>
      <c r="I60" s="43" t="n">
        <f aca="false">POISSON($A60,Model!$C$47,TRUE())</f>
        <v>1</v>
      </c>
      <c r="J60" s="43" t="n">
        <f aca="false">POISSON($A60,Model!$C$48,TRUE())</f>
        <v>1</v>
      </c>
      <c r="K60" s="43" t="n">
        <f aca="false">POISSON($A60,Model!$C$53,TRUE())</f>
        <v>1</v>
      </c>
      <c r="L60" s="43" t="n">
        <f aca="false">POISSON($A60,Model!$C$54,TRUE())</f>
        <v>1</v>
      </c>
      <c r="M60" s="43" t="n">
        <f aca="false">POISSON($A60,Model!$C$55,TRUE())</f>
        <v>1</v>
      </c>
      <c r="N60" s="43" t="n">
        <f aca="false">POISSON($A60,Model!$G$53,TRUE())</f>
        <v>1</v>
      </c>
      <c r="O60" s="43" t="n">
        <f aca="false">POISSON($A60,Model!$G$54,TRUE())</f>
        <v>1</v>
      </c>
      <c r="P60" s="43" t="n">
        <f aca="false">POISSON($A60,Model!$G$55,TRUE())</f>
        <v>1</v>
      </c>
    </row>
    <row r="61" customFormat="false" ht="15" hidden="false" customHeight="false" outlineLevel="0" collapsed="false">
      <c r="A61" s="7" t="n">
        <v>57</v>
      </c>
      <c r="B61" s="43" t="n">
        <f aca="false">POISSON($A61,Model!B$16,TRUE())</f>
        <v>1</v>
      </c>
      <c r="C61" s="43" t="n">
        <f aca="false">POISSON($A61,Model!C$16,TRUE())</f>
        <v>1</v>
      </c>
      <c r="D61" s="43" t="n">
        <f aca="false">POISSON($A61,Model!D$16,TRUE())</f>
        <v>1</v>
      </c>
      <c r="E61" s="43" t="n">
        <f aca="false">POISSON($A61,Model!E$16,TRUE())</f>
        <v>1</v>
      </c>
      <c r="H61" s="43" t="n">
        <f aca="false">POISSON($A61,Model!$C$46,TRUE())</f>
        <v>1</v>
      </c>
      <c r="I61" s="43" t="n">
        <f aca="false">POISSON($A61,Model!$C$47,TRUE())</f>
        <v>1</v>
      </c>
      <c r="J61" s="43" t="n">
        <f aca="false">POISSON($A61,Model!$C$48,TRUE())</f>
        <v>1</v>
      </c>
      <c r="K61" s="43" t="n">
        <f aca="false">POISSON($A61,Model!$C$53,TRUE())</f>
        <v>1</v>
      </c>
      <c r="L61" s="43" t="n">
        <f aca="false">POISSON($A61,Model!$C$54,TRUE())</f>
        <v>1</v>
      </c>
      <c r="M61" s="43" t="n">
        <f aca="false">POISSON($A61,Model!$C$55,TRUE())</f>
        <v>1</v>
      </c>
      <c r="N61" s="43" t="n">
        <f aca="false">POISSON($A61,Model!$G$53,TRUE())</f>
        <v>1</v>
      </c>
      <c r="O61" s="43" t="n">
        <f aca="false">POISSON($A61,Model!$G$54,TRUE())</f>
        <v>1</v>
      </c>
      <c r="P61" s="43" t="n">
        <f aca="false">POISSON($A61,Model!$G$55,TRUE())</f>
        <v>1</v>
      </c>
    </row>
    <row r="62" customFormat="false" ht="15" hidden="false" customHeight="false" outlineLevel="0" collapsed="false">
      <c r="A62" s="7" t="n">
        <v>58</v>
      </c>
      <c r="B62" s="43" t="n">
        <f aca="false">POISSON($A62,Model!B$16,TRUE())</f>
        <v>1</v>
      </c>
      <c r="C62" s="43" t="n">
        <f aca="false">POISSON($A62,Model!C$16,TRUE())</f>
        <v>1</v>
      </c>
      <c r="D62" s="43" t="n">
        <f aca="false">POISSON($A62,Model!D$16,TRUE())</f>
        <v>1</v>
      </c>
      <c r="E62" s="43" t="n">
        <f aca="false">POISSON($A62,Model!E$16,TRUE())</f>
        <v>1</v>
      </c>
      <c r="H62" s="43" t="n">
        <f aca="false">POISSON($A62,Model!$C$46,TRUE())</f>
        <v>1</v>
      </c>
      <c r="I62" s="43" t="n">
        <f aca="false">POISSON($A62,Model!$C$47,TRUE())</f>
        <v>1</v>
      </c>
      <c r="J62" s="43" t="n">
        <f aca="false">POISSON($A62,Model!$C$48,TRUE())</f>
        <v>1</v>
      </c>
      <c r="K62" s="43" t="n">
        <f aca="false">POISSON($A62,Model!$C$53,TRUE())</f>
        <v>1</v>
      </c>
      <c r="L62" s="43" t="n">
        <f aca="false">POISSON($A62,Model!$C$54,TRUE())</f>
        <v>1</v>
      </c>
      <c r="M62" s="43" t="n">
        <f aca="false">POISSON($A62,Model!$C$55,TRUE())</f>
        <v>1</v>
      </c>
      <c r="N62" s="43" t="n">
        <f aca="false">POISSON($A62,Model!$G$53,TRUE())</f>
        <v>1</v>
      </c>
      <c r="O62" s="43" t="n">
        <f aca="false">POISSON($A62,Model!$G$54,TRUE())</f>
        <v>1</v>
      </c>
      <c r="P62" s="43" t="n">
        <f aca="false">POISSON($A62,Model!$G$55,TRUE())</f>
        <v>1</v>
      </c>
    </row>
    <row r="63" customFormat="false" ht="15" hidden="false" customHeight="false" outlineLevel="0" collapsed="false">
      <c r="A63" s="7" t="n">
        <v>59</v>
      </c>
      <c r="B63" s="43" t="n">
        <f aca="false">POISSON($A63,Model!B$16,TRUE())</f>
        <v>1</v>
      </c>
      <c r="C63" s="43" t="n">
        <f aca="false">POISSON($A63,Model!C$16,TRUE())</f>
        <v>1</v>
      </c>
      <c r="D63" s="43" t="n">
        <f aca="false">POISSON($A63,Model!D$16,TRUE())</f>
        <v>1</v>
      </c>
      <c r="E63" s="43" t="n">
        <f aca="false">POISSON($A63,Model!E$16,TRUE())</f>
        <v>1</v>
      </c>
      <c r="H63" s="43" t="n">
        <f aca="false">POISSON($A63,Model!$C$46,TRUE())</f>
        <v>1</v>
      </c>
      <c r="I63" s="43" t="n">
        <f aca="false">POISSON($A63,Model!$C$47,TRUE())</f>
        <v>1</v>
      </c>
      <c r="J63" s="43" t="n">
        <f aca="false">POISSON($A63,Model!$C$48,TRUE())</f>
        <v>1</v>
      </c>
      <c r="K63" s="43" t="n">
        <f aca="false">POISSON($A63,Model!$C$53,TRUE())</f>
        <v>1</v>
      </c>
      <c r="L63" s="43" t="n">
        <f aca="false">POISSON($A63,Model!$C$54,TRUE())</f>
        <v>1</v>
      </c>
      <c r="M63" s="43" t="n">
        <f aca="false">POISSON($A63,Model!$C$55,TRUE())</f>
        <v>1</v>
      </c>
      <c r="N63" s="43" t="n">
        <f aca="false">POISSON($A63,Model!$G$53,TRUE())</f>
        <v>1</v>
      </c>
      <c r="O63" s="43" t="n">
        <f aca="false">POISSON($A63,Model!$G$54,TRUE())</f>
        <v>1</v>
      </c>
      <c r="P63" s="43" t="n">
        <f aca="false">POISSON($A63,Model!$G$55,TRUE())</f>
        <v>1</v>
      </c>
    </row>
    <row r="64" customFormat="false" ht="15" hidden="false" customHeight="false" outlineLevel="0" collapsed="false">
      <c r="A64" s="7" t="n">
        <v>60</v>
      </c>
      <c r="B64" s="43" t="n">
        <f aca="false">POISSON($A64,Model!B$16,TRUE())</f>
        <v>1</v>
      </c>
      <c r="C64" s="43" t="n">
        <f aca="false">POISSON($A64,Model!C$16,TRUE())</f>
        <v>1</v>
      </c>
      <c r="D64" s="43" t="n">
        <f aca="false">POISSON($A64,Model!D$16,TRUE())</f>
        <v>1</v>
      </c>
      <c r="E64" s="43" t="n">
        <f aca="false">POISSON($A64,Model!E$16,TRUE())</f>
        <v>1</v>
      </c>
      <c r="H64" s="43" t="n">
        <f aca="false">POISSON($A64,Model!$C$46,TRUE())</f>
        <v>1</v>
      </c>
      <c r="I64" s="43" t="n">
        <f aca="false">POISSON($A64,Model!$C$47,TRUE())</f>
        <v>1</v>
      </c>
      <c r="J64" s="43" t="n">
        <f aca="false">POISSON($A64,Model!$C$48,TRUE())</f>
        <v>1</v>
      </c>
      <c r="K64" s="43" t="n">
        <f aca="false">POISSON($A64,Model!$C$53,TRUE())</f>
        <v>1</v>
      </c>
      <c r="L64" s="43" t="n">
        <f aca="false">POISSON($A64,Model!$C$54,TRUE())</f>
        <v>1</v>
      </c>
      <c r="M64" s="43" t="n">
        <f aca="false">POISSON($A64,Model!$C$55,TRUE())</f>
        <v>1</v>
      </c>
      <c r="N64" s="43" t="n">
        <f aca="false">POISSON($A64,Model!$G$53,TRUE())</f>
        <v>1</v>
      </c>
      <c r="O64" s="43" t="n">
        <f aca="false">POISSON($A64,Model!$G$54,TRUE())</f>
        <v>1</v>
      </c>
      <c r="P64" s="43" t="n">
        <f aca="false">POISSON($A64,Model!$G$55,TRUE())</f>
        <v>1</v>
      </c>
    </row>
    <row r="65" customFormat="false" ht="15" hidden="false" customHeight="false" outlineLevel="0" collapsed="false">
      <c r="A65" s="7" t="n">
        <v>61</v>
      </c>
      <c r="B65" s="43" t="n">
        <f aca="false">POISSON($A65,Model!B$16,TRUE())</f>
        <v>1</v>
      </c>
      <c r="C65" s="43" t="n">
        <f aca="false">POISSON($A65,Model!C$16,TRUE())</f>
        <v>1</v>
      </c>
      <c r="D65" s="43" t="n">
        <f aca="false">POISSON($A65,Model!D$16,TRUE())</f>
        <v>1</v>
      </c>
      <c r="E65" s="43" t="n">
        <f aca="false">POISSON($A65,Model!E$16,TRUE())</f>
        <v>1</v>
      </c>
      <c r="H65" s="43" t="n">
        <f aca="false">POISSON($A65,Model!$C$46,TRUE())</f>
        <v>1</v>
      </c>
      <c r="I65" s="43" t="n">
        <f aca="false">POISSON($A65,Model!$C$47,TRUE())</f>
        <v>1</v>
      </c>
      <c r="J65" s="43" t="n">
        <f aca="false">POISSON($A65,Model!$C$48,TRUE())</f>
        <v>1</v>
      </c>
      <c r="K65" s="43" t="n">
        <f aca="false">POISSON($A65,Model!$C$53,TRUE())</f>
        <v>1</v>
      </c>
      <c r="L65" s="43" t="n">
        <f aca="false">POISSON($A65,Model!$C$54,TRUE())</f>
        <v>1</v>
      </c>
      <c r="M65" s="43" t="n">
        <f aca="false">POISSON($A65,Model!$C$55,TRUE())</f>
        <v>1</v>
      </c>
      <c r="N65" s="43" t="n">
        <f aca="false">POISSON($A65,Model!$G$53,TRUE())</f>
        <v>1</v>
      </c>
      <c r="O65" s="43" t="n">
        <f aca="false">POISSON($A65,Model!$G$54,TRUE())</f>
        <v>1</v>
      </c>
      <c r="P65" s="43" t="n">
        <f aca="false">POISSON($A65,Model!$G$55,TRUE())</f>
        <v>1</v>
      </c>
    </row>
    <row r="66" customFormat="false" ht="15" hidden="false" customHeight="false" outlineLevel="0" collapsed="false">
      <c r="A66" s="7" t="n">
        <v>62</v>
      </c>
      <c r="B66" s="43" t="n">
        <f aca="false">POISSON($A66,Model!B$16,TRUE())</f>
        <v>1</v>
      </c>
      <c r="C66" s="43" t="n">
        <f aca="false">POISSON($A66,Model!C$16,TRUE())</f>
        <v>1</v>
      </c>
      <c r="D66" s="43" t="n">
        <f aca="false">POISSON($A66,Model!D$16,TRUE())</f>
        <v>1</v>
      </c>
      <c r="E66" s="43" t="n">
        <f aca="false">POISSON($A66,Model!E$16,TRUE())</f>
        <v>1</v>
      </c>
      <c r="H66" s="43" t="n">
        <f aca="false">POISSON($A66,Model!$C$46,TRUE())</f>
        <v>1</v>
      </c>
      <c r="I66" s="43" t="n">
        <f aca="false">POISSON($A66,Model!$C$47,TRUE())</f>
        <v>1</v>
      </c>
      <c r="J66" s="43" t="n">
        <f aca="false">POISSON($A66,Model!$C$48,TRUE())</f>
        <v>1</v>
      </c>
      <c r="K66" s="43" t="n">
        <f aca="false">POISSON($A66,Model!$C$53,TRUE())</f>
        <v>1</v>
      </c>
      <c r="L66" s="43" t="n">
        <f aca="false">POISSON($A66,Model!$C$54,TRUE())</f>
        <v>1</v>
      </c>
      <c r="M66" s="43" t="n">
        <f aca="false">POISSON($A66,Model!$C$55,TRUE())</f>
        <v>1</v>
      </c>
      <c r="N66" s="43" t="n">
        <f aca="false">POISSON($A66,Model!$G$53,TRUE())</f>
        <v>1</v>
      </c>
      <c r="O66" s="43" t="n">
        <f aca="false">POISSON($A66,Model!$G$54,TRUE())</f>
        <v>1</v>
      </c>
      <c r="P66" s="43" t="n">
        <f aca="false">POISSON($A66,Model!$G$55,TRUE())</f>
        <v>1</v>
      </c>
    </row>
    <row r="67" customFormat="false" ht="15" hidden="false" customHeight="false" outlineLevel="0" collapsed="false">
      <c r="A67" s="7" t="n">
        <v>63</v>
      </c>
      <c r="B67" s="43" t="n">
        <f aca="false">POISSON($A67,Model!B$16,TRUE())</f>
        <v>1</v>
      </c>
      <c r="C67" s="43" t="n">
        <f aca="false">POISSON($A67,Model!C$16,TRUE())</f>
        <v>1</v>
      </c>
      <c r="D67" s="43" t="n">
        <f aca="false">POISSON($A67,Model!D$16,TRUE())</f>
        <v>1</v>
      </c>
      <c r="E67" s="43" t="n">
        <f aca="false">POISSON($A67,Model!E$16,TRUE())</f>
        <v>1</v>
      </c>
      <c r="H67" s="43" t="n">
        <f aca="false">POISSON($A67,Model!$C$46,TRUE())</f>
        <v>1</v>
      </c>
      <c r="I67" s="43" t="n">
        <f aca="false">POISSON($A67,Model!$C$47,TRUE())</f>
        <v>1</v>
      </c>
      <c r="J67" s="43" t="n">
        <f aca="false">POISSON($A67,Model!$C$48,TRUE())</f>
        <v>1</v>
      </c>
      <c r="K67" s="43" t="n">
        <f aca="false">POISSON($A67,Model!$C$53,TRUE())</f>
        <v>1</v>
      </c>
      <c r="L67" s="43" t="n">
        <f aca="false">POISSON($A67,Model!$C$54,TRUE())</f>
        <v>1</v>
      </c>
      <c r="M67" s="43" t="n">
        <f aca="false">POISSON($A67,Model!$C$55,TRUE())</f>
        <v>1</v>
      </c>
      <c r="N67" s="43" t="n">
        <f aca="false">POISSON($A67,Model!$G$53,TRUE())</f>
        <v>1</v>
      </c>
      <c r="O67" s="43" t="n">
        <f aca="false">POISSON($A67,Model!$G$54,TRUE())</f>
        <v>1</v>
      </c>
      <c r="P67" s="43" t="n">
        <f aca="false">POISSON($A67,Model!$G$55,TRUE())</f>
        <v>1</v>
      </c>
    </row>
    <row r="68" customFormat="false" ht="15" hidden="false" customHeight="false" outlineLevel="0" collapsed="false">
      <c r="A68" s="7" t="n">
        <v>64</v>
      </c>
      <c r="B68" s="43" t="n">
        <f aca="false">POISSON($A68,Model!B$16,TRUE())</f>
        <v>1</v>
      </c>
      <c r="C68" s="43" t="n">
        <f aca="false">POISSON($A68,Model!C$16,TRUE())</f>
        <v>1</v>
      </c>
      <c r="D68" s="43" t="n">
        <f aca="false">POISSON($A68,Model!D$16,TRUE())</f>
        <v>1</v>
      </c>
      <c r="E68" s="43" t="n">
        <f aca="false">POISSON($A68,Model!E$16,TRUE())</f>
        <v>1</v>
      </c>
      <c r="H68" s="43" t="n">
        <f aca="false">POISSON($A68,Model!$C$46,TRUE())</f>
        <v>1</v>
      </c>
      <c r="I68" s="43" t="n">
        <f aca="false">POISSON($A68,Model!$C$47,TRUE())</f>
        <v>1</v>
      </c>
      <c r="J68" s="43" t="n">
        <f aca="false">POISSON($A68,Model!$C$48,TRUE())</f>
        <v>1</v>
      </c>
      <c r="K68" s="43" t="n">
        <f aca="false">POISSON($A68,Model!$C$53,TRUE())</f>
        <v>1</v>
      </c>
      <c r="L68" s="43" t="n">
        <f aca="false">POISSON($A68,Model!$C$54,TRUE())</f>
        <v>1</v>
      </c>
      <c r="M68" s="43" t="n">
        <f aca="false">POISSON($A68,Model!$C$55,TRUE())</f>
        <v>1</v>
      </c>
      <c r="N68" s="43" t="n">
        <f aca="false">POISSON($A68,Model!$G$53,TRUE())</f>
        <v>1</v>
      </c>
      <c r="O68" s="43" t="n">
        <f aca="false">POISSON($A68,Model!$G$54,TRUE())</f>
        <v>1</v>
      </c>
      <c r="P68" s="43" t="n">
        <f aca="false">POISSON($A68,Model!$G$55,TRUE())</f>
        <v>1</v>
      </c>
    </row>
    <row r="69" customFormat="false" ht="15" hidden="false" customHeight="false" outlineLevel="0" collapsed="false">
      <c r="A69" s="7" t="n">
        <v>65</v>
      </c>
      <c r="B69" s="43" t="n">
        <f aca="false">POISSON($A69,Model!B$16,TRUE())</f>
        <v>1</v>
      </c>
      <c r="C69" s="43" t="n">
        <f aca="false">POISSON($A69,Model!C$16,TRUE())</f>
        <v>1</v>
      </c>
      <c r="D69" s="43" t="n">
        <f aca="false">POISSON($A69,Model!D$16,TRUE())</f>
        <v>1</v>
      </c>
      <c r="E69" s="43" t="n">
        <f aca="false">POISSON($A69,Model!E$16,TRUE())</f>
        <v>1</v>
      </c>
      <c r="H69" s="43" t="n">
        <f aca="false">POISSON($A69,Model!$C$46,TRUE())</f>
        <v>1</v>
      </c>
      <c r="I69" s="43" t="n">
        <f aca="false">POISSON($A69,Model!$C$47,TRUE())</f>
        <v>1</v>
      </c>
      <c r="J69" s="43" t="n">
        <f aca="false">POISSON($A69,Model!$C$48,TRUE())</f>
        <v>1</v>
      </c>
      <c r="K69" s="43" t="n">
        <f aca="false">POISSON($A69,Model!$C$53,TRUE())</f>
        <v>1</v>
      </c>
      <c r="L69" s="43" t="n">
        <f aca="false">POISSON($A69,Model!$C$54,TRUE())</f>
        <v>1</v>
      </c>
      <c r="M69" s="43" t="n">
        <f aca="false">POISSON($A69,Model!$C$55,TRUE())</f>
        <v>1</v>
      </c>
      <c r="N69" s="43" t="n">
        <f aca="false">POISSON($A69,Model!$G$53,TRUE())</f>
        <v>1</v>
      </c>
      <c r="O69" s="43" t="n">
        <f aca="false">POISSON($A69,Model!$G$54,TRUE())</f>
        <v>1</v>
      </c>
      <c r="P69" s="43" t="n">
        <f aca="false">POISSON($A69,Model!$G$55,TRUE())</f>
        <v>1</v>
      </c>
    </row>
    <row r="70" customFormat="false" ht="15" hidden="false" customHeight="false" outlineLevel="0" collapsed="false">
      <c r="A70" s="7" t="n">
        <v>66</v>
      </c>
      <c r="B70" s="43" t="n">
        <f aca="false">POISSON($A70,Model!B$16,TRUE())</f>
        <v>1</v>
      </c>
      <c r="C70" s="43" t="n">
        <f aca="false">POISSON($A70,Model!C$16,TRUE())</f>
        <v>1</v>
      </c>
      <c r="D70" s="43" t="n">
        <f aca="false">POISSON($A70,Model!D$16,TRUE())</f>
        <v>1</v>
      </c>
      <c r="E70" s="43" t="n">
        <f aca="false">POISSON($A70,Model!E$16,TRUE())</f>
        <v>1</v>
      </c>
      <c r="H70" s="43" t="n">
        <f aca="false">POISSON($A70,Model!$C$46,TRUE())</f>
        <v>1</v>
      </c>
      <c r="I70" s="43" t="n">
        <f aca="false">POISSON($A70,Model!$C$47,TRUE())</f>
        <v>1</v>
      </c>
      <c r="J70" s="43" t="n">
        <f aca="false">POISSON($A70,Model!$C$48,TRUE())</f>
        <v>1</v>
      </c>
      <c r="K70" s="43" t="n">
        <f aca="false">POISSON($A70,Model!$C$53,TRUE())</f>
        <v>1</v>
      </c>
      <c r="L70" s="43" t="n">
        <f aca="false">POISSON($A70,Model!$C$54,TRUE())</f>
        <v>1</v>
      </c>
      <c r="M70" s="43" t="n">
        <f aca="false">POISSON($A70,Model!$C$55,TRUE())</f>
        <v>1</v>
      </c>
      <c r="N70" s="43" t="n">
        <f aca="false">POISSON($A70,Model!$G$53,TRUE())</f>
        <v>1</v>
      </c>
      <c r="O70" s="43" t="n">
        <f aca="false">POISSON($A70,Model!$G$54,TRUE())</f>
        <v>1</v>
      </c>
      <c r="P70" s="43" t="n">
        <f aca="false">POISSON($A70,Model!$G$55,TRUE())</f>
        <v>1</v>
      </c>
    </row>
    <row r="71" customFormat="false" ht="15" hidden="false" customHeight="false" outlineLevel="0" collapsed="false">
      <c r="A71" s="7" t="n">
        <v>67</v>
      </c>
      <c r="B71" s="43" t="n">
        <f aca="false">POISSON($A71,Model!B$16,TRUE())</f>
        <v>1</v>
      </c>
      <c r="C71" s="43" t="n">
        <f aca="false">POISSON($A71,Model!C$16,TRUE())</f>
        <v>1</v>
      </c>
      <c r="D71" s="43" t="n">
        <f aca="false">POISSON($A71,Model!D$16,TRUE())</f>
        <v>1</v>
      </c>
      <c r="E71" s="43" t="n">
        <f aca="false">POISSON($A71,Model!E$16,TRUE())</f>
        <v>1</v>
      </c>
      <c r="H71" s="43" t="n">
        <f aca="false">POISSON($A71,Model!$C$46,TRUE())</f>
        <v>1</v>
      </c>
      <c r="I71" s="43" t="n">
        <f aca="false">POISSON($A71,Model!$C$47,TRUE())</f>
        <v>1</v>
      </c>
      <c r="J71" s="43" t="n">
        <f aca="false">POISSON($A71,Model!$C$48,TRUE())</f>
        <v>1</v>
      </c>
      <c r="K71" s="43" t="n">
        <f aca="false">POISSON($A71,Model!$C$53,TRUE())</f>
        <v>1</v>
      </c>
      <c r="L71" s="43" t="n">
        <f aca="false">POISSON($A71,Model!$C$54,TRUE())</f>
        <v>1</v>
      </c>
      <c r="M71" s="43" t="n">
        <f aca="false">POISSON($A71,Model!$C$55,TRUE())</f>
        <v>1</v>
      </c>
      <c r="N71" s="43" t="n">
        <f aca="false">POISSON($A71,Model!$G$53,TRUE())</f>
        <v>1</v>
      </c>
      <c r="O71" s="43" t="n">
        <f aca="false">POISSON($A71,Model!$G$54,TRUE())</f>
        <v>1</v>
      </c>
      <c r="P71" s="43" t="n">
        <f aca="false">POISSON($A71,Model!$G$55,TRUE())</f>
        <v>1</v>
      </c>
    </row>
    <row r="72" customFormat="false" ht="15" hidden="false" customHeight="false" outlineLevel="0" collapsed="false">
      <c r="A72" s="7" t="n">
        <v>68</v>
      </c>
      <c r="B72" s="43" t="n">
        <f aca="false">POISSON($A72,Model!B$16,TRUE())</f>
        <v>1</v>
      </c>
      <c r="C72" s="43" t="n">
        <f aca="false">POISSON($A72,Model!C$16,TRUE())</f>
        <v>1</v>
      </c>
      <c r="D72" s="43" t="n">
        <f aca="false">POISSON($A72,Model!D$16,TRUE())</f>
        <v>1</v>
      </c>
      <c r="E72" s="43" t="n">
        <f aca="false">POISSON($A72,Model!E$16,TRUE())</f>
        <v>1</v>
      </c>
      <c r="H72" s="43" t="n">
        <f aca="false">POISSON($A72,Model!$C$46,TRUE())</f>
        <v>1</v>
      </c>
      <c r="I72" s="43" t="n">
        <f aca="false">POISSON($A72,Model!$C$47,TRUE())</f>
        <v>1</v>
      </c>
      <c r="J72" s="43" t="n">
        <f aca="false">POISSON($A72,Model!$C$48,TRUE())</f>
        <v>1</v>
      </c>
      <c r="K72" s="43" t="n">
        <f aca="false">POISSON($A72,Model!$C$53,TRUE())</f>
        <v>1</v>
      </c>
      <c r="L72" s="43" t="n">
        <f aca="false">POISSON($A72,Model!$C$54,TRUE())</f>
        <v>1</v>
      </c>
      <c r="M72" s="43" t="n">
        <f aca="false">POISSON($A72,Model!$C$55,TRUE())</f>
        <v>1</v>
      </c>
      <c r="N72" s="43" t="n">
        <f aca="false">POISSON($A72,Model!$G$53,TRUE())</f>
        <v>1</v>
      </c>
      <c r="O72" s="43" t="n">
        <f aca="false">POISSON($A72,Model!$G$54,TRUE())</f>
        <v>1</v>
      </c>
      <c r="P72" s="43" t="n">
        <f aca="false">POISSON($A72,Model!$G$55,TRUE())</f>
        <v>1</v>
      </c>
    </row>
    <row r="73" customFormat="false" ht="15" hidden="false" customHeight="false" outlineLevel="0" collapsed="false">
      <c r="A73" s="7" t="n">
        <v>69</v>
      </c>
      <c r="B73" s="43" t="n">
        <f aca="false">POISSON($A73,Model!B$16,TRUE())</f>
        <v>1</v>
      </c>
      <c r="C73" s="43" t="n">
        <f aca="false">POISSON($A73,Model!C$16,TRUE())</f>
        <v>1</v>
      </c>
      <c r="D73" s="43" t="n">
        <f aca="false">POISSON($A73,Model!D$16,TRUE())</f>
        <v>1</v>
      </c>
      <c r="E73" s="43" t="n">
        <f aca="false">POISSON($A73,Model!E$16,TRUE())</f>
        <v>1</v>
      </c>
      <c r="H73" s="43" t="n">
        <f aca="false">POISSON($A73,Model!$C$46,TRUE())</f>
        <v>1</v>
      </c>
      <c r="I73" s="43" t="n">
        <f aca="false">POISSON($A73,Model!$C$47,TRUE())</f>
        <v>1</v>
      </c>
      <c r="J73" s="43" t="n">
        <f aca="false">POISSON($A73,Model!$C$48,TRUE())</f>
        <v>1</v>
      </c>
      <c r="K73" s="43" t="n">
        <f aca="false">POISSON($A73,Model!$C$53,TRUE())</f>
        <v>1</v>
      </c>
      <c r="L73" s="43" t="n">
        <f aca="false">POISSON($A73,Model!$C$54,TRUE())</f>
        <v>1</v>
      </c>
      <c r="M73" s="43" t="n">
        <f aca="false">POISSON($A73,Model!$C$55,TRUE())</f>
        <v>1</v>
      </c>
      <c r="N73" s="43" t="n">
        <f aca="false">POISSON($A73,Model!$G$53,TRUE())</f>
        <v>1</v>
      </c>
      <c r="O73" s="43" t="n">
        <f aca="false">POISSON($A73,Model!$G$54,TRUE())</f>
        <v>1</v>
      </c>
      <c r="P73" s="43" t="n">
        <f aca="false">POISSON($A73,Model!$G$55,TRUE())</f>
        <v>1</v>
      </c>
    </row>
    <row r="74" customFormat="false" ht="15" hidden="false" customHeight="false" outlineLevel="0" collapsed="false">
      <c r="A74" s="7" t="n">
        <v>70</v>
      </c>
      <c r="B74" s="43" t="n">
        <f aca="false">POISSON($A74,Model!B$16,TRUE())</f>
        <v>1</v>
      </c>
      <c r="C74" s="43" t="n">
        <f aca="false">POISSON($A74,Model!C$16,TRUE())</f>
        <v>1</v>
      </c>
      <c r="D74" s="43" t="n">
        <f aca="false">POISSON($A74,Model!D$16,TRUE())</f>
        <v>1</v>
      </c>
      <c r="E74" s="43" t="n">
        <f aca="false">POISSON($A74,Model!E$16,TRUE())</f>
        <v>1</v>
      </c>
      <c r="H74" s="43" t="n">
        <f aca="false">POISSON($A74,Model!$C$46,TRUE())</f>
        <v>1</v>
      </c>
      <c r="I74" s="43" t="n">
        <f aca="false">POISSON($A74,Model!$C$47,TRUE())</f>
        <v>1</v>
      </c>
      <c r="J74" s="43" t="n">
        <f aca="false">POISSON($A74,Model!$C$48,TRUE())</f>
        <v>1</v>
      </c>
      <c r="K74" s="43" t="n">
        <f aca="false">POISSON($A74,Model!$C$53,TRUE())</f>
        <v>1</v>
      </c>
      <c r="L74" s="43" t="n">
        <f aca="false">POISSON($A74,Model!$C$54,TRUE())</f>
        <v>1</v>
      </c>
      <c r="M74" s="43" t="n">
        <f aca="false">POISSON($A74,Model!$C$55,TRUE())</f>
        <v>1</v>
      </c>
      <c r="N74" s="43" t="n">
        <f aca="false">POISSON($A74,Model!$G$53,TRUE())</f>
        <v>1</v>
      </c>
      <c r="O74" s="43" t="n">
        <f aca="false">POISSON($A74,Model!$G$54,TRUE())</f>
        <v>1</v>
      </c>
      <c r="P74" s="43" t="n">
        <f aca="false">POISSON($A74,Model!$G$55,TRUE())</f>
        <v>1</v>
      </c>
    </row>
    <row r="75" customFormat="false" ht="15" hidden="false" customHeight="false" outlineLevel="0" collapsed="false">
      <c r="A75" s="7" t="n">
        <v>71</v>
      </c>
      <c r="B75" s="43" t="n">
        <f aca="false">POISSON($A75,Model!B$16,TRUE())</f>
        <v>1</v>
      </c>
      <c r="C75" s="43" t="n">
        <f aca="false">POISSON($A75,Model!C$16,TRUE())</f>
        <v>1</v>
      </c>
      <c r="D75" s="43" t="n">
        <f aca="false">POISSON($A75,Model!D$16,TRUE())</f>
        <v>1</v>
      </c>
      <c r="E75" s="43" t="n">
        <f aca="false">POISSON($A75,Model!E$16,TRUE())</f>
        <v>1</v>
      </c>
      <c r="H75" s="43" t="n">
        <f aca="false">POISSON($A75,Model!$C$46,TRUE())</f>
        <v>1</v>
      </c>
      <c r="I75" s="43" t="n">
        <f aca="false">POISSON($A75,Model!$C$47,TRUE())</f>
        <v>1</v>
      </c>
      <c r="J75" s="43" t="n">
        <f aca="false">POISSON($A75,Model!$C$48,TRUE())</f>
        <v>1</v>
      </c>
      <c r="K75" s="43" t="n">
        <f aca="false">POISSON($A75,Model!$C$53,TRUE())</f>
        <v>1</v>
      </c>
      <c r="L75" s="43" t="n">
        <f aca="false">POISSON($A75,Model!$C$54,TRUE())</f>
        <v>1</v>
      </c>
      <c r="M75" s="43" t="n">
        <f aca="false">POISSON($A75,Model!$C$55,TRUE())</f>
        <v>1</v>
      </c>
      <c r="N75" s="43" t="n">
        <f aca="false">POISSON($A75,Model!$G$53,TRUE())</f>
        <v>1</v>
      </c>
      <c r="O75" s="43" t="n">
        <f aca="false">POISSON($A75,Model!$G$54,TRUE())</f>
        <v>1</v>
      </c>
      <c r="P75" s="43" t="n">
        <f aca="false">POISSON($A75,Model!$G$55,TRUE())</f>
        <v>1</v>
      </c>
    </row>
    <row r="76" customFormat="false" ht="15" hidden="false" customHeight="false" outlineLevel="0" collapsed="false">
      <c r="A76" s="7" t="n">
        <v>72</v>
      </c>
      <c r="B76" s="43" t="n">
        <f aca="false">POISSON($A76,Model!B$16,TRUE())</f>
        <v>1</v>
      </c>
      <c r="C76" s="43" t="n">
        <f aca="false">POISSON($A76,Model!C$16,TRUE())</f>
        <v>1</v>
      </c>
      <c r="D76" s="43" t="n">
        <f aca="false">POISSON($A76,Model!D$16,TRUE())</f>
        <v>1</v>
      </c>
      <c r="E76" s="43" t="n">
        <f aca="false">POISSON($A76,Model!E$16,TRUE())</f>
        <v>1</v>
      </c>
      <c r="H76" s="43" t="n">
        <f aca="false">POISSON($A76,Model!$C$46,TRUE())</f>
        <v>1</v>
      </c>
      <c r="I76" s="43" t="n">
        <f aca="false">POISSON($A76,Model!$C$47,TRUE())</f>
        <v>1</v>
      </c>
      <c r="J76" s="43" t="n">
        <f aca="false">POISSON($A76,Model!$C$48,TRUE())</f>
        <v>1</v>
      </c>
      <c r="K76" s="43" t="n">
        <f aca="false">POISSON($A76,Model!$C$53,TRUE())</f>
        <v>1</v>
      </c>
      <c r="L76" s="43" t="n">
        <f aca="false">POISSON($A76,Model!$C$54,TRUE())</f>
        <v>1</v>
      </c>
      <c r="M76" s="43" t="n">
        <f aca="false">POISSON($A76,Model!$C$55,TRUE())</f>
        <v>1</v>
      </c>
      <c r="N76" s="43" t="n">
        <f aca="false">POISSON($A76,Model!$G$53,TRUE())</f>
        <v>1</v>
      </c>
      <c r="O76" s="43" t="n">
        <f aca="false">POISSON($A76,Model!$G$54,TRUE())</f>
        <v>1</v>
      </c>
      <c r="P76" s="43" t="n">
        <f aca="false">POISSON($A76,Model!$G$55,TRUE())</f>
        <v>1</v>
      </c>
    </row>
    <row r="77" customFormat="false" ht="15" hidden="false" customHeight="false" outlineLevel="0" collapsed="false">
      <c r="A77" s="7" t="n">
        <v>73</v>
      </c>
      <c r="B77" s="43" t="n">
        <f aca="false">POISSON($A77,Model!B$16,TRUE())</f>
        <v>1</v>
      </c>
      <c r="C77" s="43" t="n">
        <f aca="false">POISSON($A77,Model!C$16,TRUE())</f>
        <v>1</v>
      </c>
      <c r="D77" s="43" t="n">
        <f aca="false">POISSON($A77,Model!D$16,TRUE())</f>
        <v>1</v>
      </c>
      <c r="E77" s="43" t="n">
        <f aca="false">POISSON($A77,Model!E$16,TRUE())</f>
        <v>1</v>
      </c>
      <c r="H77" s="43" t="n">
        <f aca="false">POISSON($A77,Model!$C$46,TRUE())</f>
        <v>1</v>
      </c>
      <c r="I77" s="43" t="n">
        <f aca="false">POISSON($A77,Model!$C$47,TRUE())</f>
        <v>1</v>
      </c>
      <c r="J77" s="43" t="n">
        <f aca="false">POISSON($A77,Model!$C$48,TRUE())</f>
        <v>1</v>
      </c>
      <c r="K77" s="43" t="n">
        <f aca="false">POISSON($A77,Model!$C$53,TRUE())</f>
        <v>1</v>
      </c>
      <c r="L77" s="43" t="n">
        <f aca="false">POISSON($A77,Model!$C$54,TRUE())</f>
        <v>1</v>
      </c>
      <c r="M77" s="43" t="n">
        <f aca="false">POISSON($A77,Model!$C$55,TRUE())</f>
        <v>1</v>
      </c>
      <c r="N77" s="43" t="n">
        <f aca="false">POISSON($A77,Model!$G$53,TRUE())</f>
        <v>1</v>
      </c>
      <c r="O77" s="43" t="n">
        <f aca="false">POISSON($A77,Model!$G$54,TRUE())</f>
        <v>1</v>
      </c>
      <c r="P77" s="43" t="n">
        <f aca="false">POISSON($A77,Model!$G$55,TRUE())</f>
        <v>1</v>
      </c>
    </row>
    <row r="78" customFormat="false" ht="15" hidden="false" customHeight="false" outlineLevel="0" collapsed="false">
      <c r="A78" s="7" t="n">
        <v>74</v>
      </c>
      <c r="B78" s="43" t="n">
        <f aca="false">POISSON($A78,Model!B$16,TRUE())</f>
        <v>1</v>
      </c>
      <c r="C78" s="43" t="n">
        <f aca="false">POISSON($A78,Model!C$16,TRUE())</f>
        <v>1</v>
      </c>
      <c r="D78" s="43" t="n">
        <f aca="false">POISSON($A78,Model!D$16,TRUE())</f>
        <v>1</v>
      </c>
      <c r="E78" s="43" t="n">
        <f aca="false">POISSON($A78,Model!E$16,TRUE())</f>
        <v>1</v>
      </c>
      <c r="H78" s="43" t="n">
        <f aca="false">POISSON($A78,Model!$C$46,TRUE())</f>
        <v>1</v>
      </c>
      <c r="I78" s="43" t="n">
        <f aca="false">POISSON($A78,Model!$C$47,TRUE())</f>
        <v>1</v>
      </c>
      <c r="J78" s="43" t="n">
        <f aca="false">POISSON($A78,Model!$C$48,TRUE())</f>
        <v>1</v>
      </c>
      <c r="K78" s="43" t="n">
        <f aca="false">POISSON($A78,Model!$C$53,TRUE())</f>
        <v>1</v>
      </c>
      <c r="L78" s="43" t="n">
        <f aca="false">POISSON($A78,Model!$C$54,TRUE())</f>
        <v>1</v>
      </c>
      <c r="M78" s="43" t="n">
        <f aca="false">POISSON($A78,Model!$C$55,TRUE())</f>
        <v>1</v>
      </c>
      <c r="N78" s="43" t="n">
        <f aca="false">POISSON($A78,Model!$G$53,TRUE())</f>
        <v>1</v>
      </c>
      <c r="O78" s="43" t="n">
        <f aca="false">POISSON($A78,Model!$G$54,TRUE())</f>
        <v>1</v>
      </c>
      <c r="P78" s="43" t="n">
        <f aca="false">POISSON($A78,Model!$G$55,TRUE())</f>
        <v>1</v>
      </c>
    </row>
    <row r="79" customFormat="false" ht="15" hidden="false" customHeight="false" outlineLevel="0" collapsed="false">
      <c r="A79" s="7" t="n">
        <v>75</v>
      </c>
      <c r="B79" s="43" t="n">
        <f aca="false">POISSON($A79,Model!B$16,TRUE())</f>
        <v>1</v>
      </c>
      <c r="C79" s="43" t="n">
        <f aca="false">POISSON($A79,Model!C$16,TRUE())</f>
        <v>1</v>
      </c>
      <c r="D79" s="43" t="n">
        <f aca="false">POISSON($A79,Model!D$16,TRUE())</f>
        <v>1</v>
      </c>
      <c r="E79" s="43" t="n">
        <f aca="false">POISSON($A79,Model!E$16,TRUE())</f>
        <v>1</v>
      </c>
      <c r="H79" s="43" t="n">
        <f aca="false">POISSON($A79,Model!$C$46,TRUE())</f>
        <v>1</v>
      </c>
      <c r="I79" s="43" t="n">
        <f aca="false">POISSON($A79,Model!$C$47,TRUE())</f>
        <v>1</v>
      </c>
      <c r="J79" s="43" t="n">
        <f aca="false">POISSON($A79,Model!$C$48,TRUE())</f>
        <v>1</v>
      </c>
      <c r="K79" s="43" t="n">
        <f aca="false">POISSON($A79,Model!$C$53,TRUE())</f>
        <v>1</v>
      </c>
      <c r="L79" s="43" t="n">
        <f aca="false">POISSON($A79,Model!$C$54,TRUE())</f>
        <v>1</v>
      </c>
      <c r="M79" s="43" t="n">
        <f aca="false">POISSON($A79,Model!$C$55,TRUE())</f>
        <v>1</v>
      </c>
      <c r="N79" s="43" t="n">
        <f aca="false">POISSON($A79,Model!$G$53,TRUE())</f>
        <v>1</v>
      </c>
      <c r="O79" s="43" t="n">
        <f aca="false">POISSON($A79,Model!$G$54,TRUE())</f>
        <v>1</v>
      </c>
      <c r="P79" s="43" t="n">
        <f aca="false">POISSON($A79,Model!$G$55,TRUE())</f>
        <v>1</v>
      </c>
    </row>
    <row r="80" customFormat="false" ht="15" hidden="false" customHeight="false" outlineLevel="0" collapsed="false">
      <c r="A80" s="7" t="n">
        <v>76</v>
      </c>
      <c r="B80" s="43" t="n">
        <f aca="false">POISSON($A80,Model!B$16,TRUE())</f>
        <v>1</v>
      </c>
      <c r="C80" s="43" t="n">
        <f aca="false">POISSON($A80,Model!C$16,TRUE())</f>
        <v>1</v>
      </c>
      <c r="D80" s="43" t="n">
        <f aca="false">POISSON($A80,Model!D$16,TRUE())</f>
        <v>1</v>
      </c>
      <c r="E80" s="43" t="n">
        <f aca="false">POISSON($A80,Model!E$16,TRUE())</f>
        <v>1</v>
      </c>
      <c r="H80" s="43" t="n">
        <f aca="false">POISSON($A80,Model!$C$46,TRUE())</f>
        <v>1</v>
      </c>
      <c r="I80" s="43" t="n">
        <f aca="false">POISSON($A80,Model!$C$47,TRUE())</f>
        <v>1</v>
      </c>
      <c r="J80" s="43" t="n">
        <f aca="false">POISSON($A80,Model!$C$48,TRUE())</f>
        <v>1</v>
      </c>
      <c r="K80" s="43" t="n">
        <f aca="false">POISSON($A80,Model!$C$53,TRUE())</f>
        <v>1</v>
      </c>
      <c r="L80" s="43" t="n">
        <f aca="false">POISSON($A80,Model!$C$54,TRUE())</f>
        <v>1</v>
      </c>
      <c r="M80" s="43" t="n">
        <f aca="false">POISSON($A80,Model!$C$55,TRUE())</f>
        <v>1</v>
      </c>
      <c r="N80" s="43" t="n">
        <f aca="false">POISSON($A80,Model!$G$53,TRUE())</f>
        <v>1</v>
      </c>
      <c r="O80" s="43" t="n">
        <f aca="false">POISSON($A80,Model!$G$54,TRUE())</f>
        <v>1</v>
      </c>
      <c r="P80" s="43" t="n">
        <f aca="false">POISSON($A80,Model!$G$55,TRUE())</f>
        <v>1</v>
      </c>
    </row>
    <row r="81" customFormat="false" ht="15" hidden="false" customHeight="false" outlineLevel="0" collapsed="false">
      <c r="A81" s="7" t="n">
        <v>77</v>
      </c>
      <c r="B81" s="43" t="n">
        <f aca="false">POISSON($A81,Model!B$16,TRUE())</f>
        <v>1</v>
      </c>
      <c r="C81" s="43" t="n">
        <f aca="false">POISSON($A81,Model!C$16,TRUE())</f>
        <v>1</v>
      </c>
      <c r="D81" s="43" t="n">
        <f aca="false">POISSON($A81,Model!D$16,TRUE())</f>
        <v>1</v>
      </c>
      <c r="E81" s="43" t="n">
        <f aca="false">POISSON($A81,Model!E$16,TRUE())</f>
        <v>1</v>
      </c>
      <c r="H81" s="43" t="n">
        <f aca="false">POISSON($A81,Model!$C$46,TRUE())</f>
        <v>1</v>
      </c>
      <c r="I81" s="43" t="n">
        <f aca="false">POISSON($A81,Model!$C$47,TRUE())</f>
        <v>1</v>
      </c>
      <c r="J81" s="43" t="n">
        <f aca="false">POISSON($A81,Model!$C$48,TRUE())</f>
        <v>1</v>
      </c>
      <c r="K81" s="43" t="n">
        <f aca="false">POISSON($A81,Model!$C$53,TRUE())</f>
        <v>1</v>
      </c>
      <c r="L81" s="43" t="n">
        <f aca="false">POISSON($A81,Model!$C$54,TRUE())</f>
        <v>1</v>
      </c>
      <c r="M81" s="43" t="n">
        <f aca="false">POISSON($A81,Model!$C$55,TRUE())</f>
        <v>1</v>
      </c>
      <c r="N81" s="43" t="n">
        <f aca="false">POISSON($A81,Model!$G$53,TRUE())</f>
        <v>1</v>
      </c>
      <c r="O81" s="43" t="n">
        <f aca="false">POISSON($A81,Model!$G$54,TRUE())</f>
        <v>1</v>
      </c>
      <c r="P81" s="43" t="n">
        <f aca="false">POISSON($A81,Model!$G$55,TRUE())</f>
        <v>1</v>
      </c>
    </row>
    <row r="82" customFormat="false" ht="15" hidden="false" customHeight="false" outlineLevel="0" collapsed="false">
      <c r="A82" s="7" t="n">
        <v>78</v>
      </c>
      <c r="B82" s="43" t="n">
        <f aca="false">POISSON($A82,Model!B$16,TRUE())</f>
        <v>1</v>
      </c>
      <c r="C82" s="43" t="n">
        <f aca="false">POISSON($A82,Model!C$16,TRUE())</f>
        <v>1</v>
      </c>
      <c r="D82" s="43" t="n">
        <f aca="false">POISSON($A82,Model!D$16,TRUE())</f>
        <v>1</v>
      </c>
      <c r="E82" s="43" t="n">
        <f aca="false">POISSON($A82,Model!E$16,TRUE())</f>
        <v>1</v>
      </c>
      <c r="H82" s="43" t="n">
        <f aca="false">POISSON($A82,Model!$C$46,TRUE())</f>
        <v>1</v>
      </c>
      <c r="I82" s="43" t="n">
        <f aca="false">POISSON($A82,Model!$C$47,TRUE())</f>
        <v>1</v>
      </c>
      <c r="J82" s="43" t="n">
        <f aca="false">POISSON($A82,Model!$C$48,TRUE())</f>
        <v>1</v>
      </c>
      <c r="K82" s="43" t="n">
        <f aca="false">POISSON($A82,Model!$C$53,TRUE())</f>
        <v>1</v>
      </c>
      <c r="L82" s="43" t="n">
        <f aca="false">POISSON($A82,Model!$C$54,TRUE())</f>
        <v>1</v>
      </c>
      <c r="M82" s="43" t="n">
        <f aca="false">POISSON($A82,Model!$C$55,TRUE())</f>
        <v>1</v>
      </c>
      <c r="N82" s="43" t="n">
        <f aca="false">POISSON($A82,Model!$G$53,TRUE())</f>
        <v>1</v>
      </c>
      <c r="O82" s="43" t="n">
        <f aca="false">POISSON($A82,Model!$G$54,TRUE())</f>
        <v>1</v>
      </c>
      <c r="P82" s="43" t="n">
        <f aca="false">POISSON($A82,Model!$G$55,TRUE())</f>
        <v>1</v>
      </c>
    </row>
    <row r="83" customFormat="false" ht="15" hidden="false" customHeight="false" outlineLevel="0" collapsed="false">
      <c r="A83" s="7" t="n">
        <v>79</v>
      </c>
      <c r="B83" s="43" t="n">
        <f aca="false">POISSON($A83,Model!B$16,TRUE())</f>
        <v>1</v>
      </c>
      <c r="C83" s="43" t="n">
        <f aca="false">POISSON($A83,Model!C$16,TRUE())</f>
        <v>1</v>
      </c>
      <c r="D83" s="43" t="n">
        <f aca="false">POISSON($A83,Model!D$16,TRUE())</f>
        <v>1</v>
      </c>
      <c r="E83" s="43" t="n">
        <f aca="false">POISSON($A83,Model!E$16,TRUE())</f>
        <v>1</v>
      </c>
      <c r="H83" s="43" t="n">
        <f aca="false">POISSON($A83,Model!$C$46,TRUE())</f>
        <v>1</v>
      </c>
      <c r="I83" s="43" t="n">
        <f aca="false">POISSON($A83,Model!$C$47,TRUE())</f>
        <v>1</v>
      </c>
      <c r="J83" s="43" t="n">
        <f aca="false">POISSON($A83,Model!$C$48,TRUE())</f>
        <v>1</v>
      </c>
      <c r="K83" s="43" t="n">
        <f aca="false">POISSON($A83,Model!$C$53,TRUE())</f>
        <v>1</v>
      </c>
      <c r="L83" s="43" t="n">
        <f aca="false">POISSON($A83,Model!$C$54,TRUE())</f>
        <v>1</v>
      </c>
      <c r="M83" s="43" t="n">
        <f aca="false">POISSON($A83,Model!$C$55,TRUE())</f>
        <v>1</v>
      </c>
      <c r="N83" s="43" t="n">
        <f aca="false">POISSON($A83,Model!$G$53,TRUE())</f>
        <v>1</v>
      </c>
      <c r="O83" s="43" t="n">
        <f aca="false">POISSON($A83,Model!$G$54,TRUE())</f>
        <v>1</v>
      </c>
      <c r="P83" s="43" t="n">
        <f aca="false">POISSON($A83,Model!$G$55,TRUE())</f>
        <v>1</v>
      </c>
    </row>
    <row r="84" customFormat="false" ht="15" hidden="false" customHeight="false" outlineLevel="0" collapsed="false">
      <c r="A84" s="7" t="n">
        <v>80</v>
      </c>
      <c r="B84" s="43" t="n">
        <f aca="false">POISSON($A84,Model!B$16,TRUE())</f>
        <v>1</v>
      </c>
      <c r="C84" s="43" t="n">
        <f aca="false">POISSON($A84,Model!C$16,TRUE())</f>
        <v>1</v>
      </c>
      <c r="D84" s="43" t="n">
        <f aca="false">POISSON($A84,Model!D$16,TRUE())</f>
        <v>1</v>
      </c>
      <c r="E84" s="43" t="n">
        <f aca="false">POISSON($A84,Model!E$16,TRUE())</f>
        <v>1</v>
      </c>
      <c r="H84" s="43" t="n">
        <f aca="false">POISSON($A84,Model!$C$46,TRUE())</f>
        <v>1</v>
      </c>
      <c r="I84" s="43" t="n">
        <f aca="false">POISSON($A84,Model!$C$47,TRUE())</f>
        <v>1</v>
      </c>
      <c r="J84" s="43" t="n">
        <f aca="false">POISSON($A84,Model!$C$48,TRUE())</f>
        <v>1</v>
      </c>
      <c r="K84" s="43" t="n">
        <f aca="false">POISSON($A84,Model!$C$53,TRUE())</f>
        <v>1</v>
      </c>
      <c r="L84" s="43" t="n">
        <f aca="false">POISSON($A84,Model!$C$54,TRUE())</f>
        <v>1</v>
      </c>
      <c r="M84" s="43" t="n">
        <f aca="false">POISSON($A84,Model!$C$55,TRUE())</f>
        <v>1</v>
      </c>
      <c r="N84" s="43" t="n">
        <f aca="false">POISSON($A84,Model!$G$53,TRUE())</f>
        <v>1</v>
      </c>
      <c r="O84" s="43" t="n">
        <f aca="false">POISSON($A84,Model!$G$54,TRUE())</f>
        <v>1</v>
      </c>
      <c r="P84" s="43" t="n">
        <f aca="false">POISSON($A84,Model!$G$55,TRUE())</f>
        <v>1</v>
      </c>
    </row>
    <row r="85" customFormat="false" ht="15" hidden="false" customHeight="false" outlineLevel="0" collapsed="false">
      <c r="A85" s="7" t="n">
        <v>81</v>
      </c>
      <c r="B85" s="43" t="n">
        <f aca="false">POISSON($A85,Model!B$16,TRUE())</f>
        <v>1</v>
      </c>
      <c r="C85" s="43" t="n">
        <f aca="false">POISSON($A85,Model!C$16,TRUE())</f>
        <v>1</v>
      </c>
      <c r="D85" s="43" t="n">
        <f aca="false">POISSON($A85,Model!D$16,TRUE())</f>
        <v>1</v>
      </c>
      <c r="E85" s="43" t="n">
        <f aca="false">POISSON($A85,Model!E$16,TRUE())</f>
        <v>1</v>
      </c>
      <c r="H85" s="43" t="n">
        <f aca="false">POISSON($A85,Model!$C$46,TRUE())</f>
        <v>1</v>
      </c>
      <c r="I85" s="43" t="n">
        <f aca="false">POISSON($A85,Model!$C$47,TRUE())</f>
        <v>1</v>
      </c>
      <c r="J85" s="43" t="n">
        <f aca="false">POISSON($A85,Model!$C$48,TRUE())</f>
        <v>1</v>
      </c>
      <c r="K85" s="43" t="n">
        <f aca="false">POISSON($A85,Model!$C$53,TRUE())</f>
        <v>1</v>
      </c>
      <c r="L85" s="43" t="n">
        <f aca="false">POISSON($A85,Model!$C$54,TRUE())</f>
        <v>1</v>
      </c>
      <c r="M85" s="43" t="n">
        <f aca="false">POISSON($A85,Model!$C$55,TRUE())</f>
        <v>1</v>
      </c>
      <c r="N85" s="43" t="n">
        <f aca="false">POISSON($A85,Model!$G$53,TRUE())</f>
        <v>1</v>
      </c>
      <c r="O85" s="43" t="n">
        <f aca="false">POISSON($A85,Model!$G$54,TRUE())</f>
        <v>1</v>
      </c>
      <c r="P85" s="43" t="n">
        <f aca="false">POISSON($A85,Model!$G$55,TRUE())</f>
        <v>1</v>
      </c>
    </row>
    <row r="86" customFormat="false" ht="15" hidden="false" customHeight="false" outlineLevel="0" collapsed="false">
      <c r="A86" s="7" t="n">
        <v>82</v>
      </c>
      <c r="B86" s="43" t="n">
        <f aca="false">POISSON($A86,Model!B$16,TRUE())</f>
        <v>1</v>
      </c>
      <c r="C86" s="43" t="n">
        <f aca="false">POISSON($A86,Model!C$16,TRUE())</f>
        <v>1</v>
      </c>
      <c r="D86" s="43" t="n">
        <f aca="false">POISSON($A86,Model!D$16,TRUE())</f>
        <v>1</v>
      </c>
      <c r="E86" s="43" t="n">
        <f aca="false">POISSON($A86,Model!E$16,TRUE())</f>
        <v>1</v>
      </c>
      <c r="H86" s="43" t="n">
        <f aca="false">POISSON($A86,Model!$C$46,TRUE())</f>
        <v>1</v>
      </c>
      <c r="I86" s="43" t="n">
        <f aca="false">POISSON($A86,Model!$C$47,TRUE())</f>
        <v>1</v>
      </c>
      <c r="J86" s="43" t="n">
        <f aca="false">POISSON($A86,Model!$C$48,TRUE())</f>
        <v>1</v>
      </c>
      <c r="K86" s="43" t="n">
        <f aca="false">POISSON($A86,Model!$C$53,TRUE())</f>
        <v>1</v>
      </c>
      <c r="L86" s="43" t="n">
        <f aca="false">POISSON($A86,Model!$C$54,TRUE())</f>
        <v>1</v>
      </c>
      <c r="M86" s="43" t="n">
        <f aca="false">POISSON($A86,Model!$C$55,TRUE())</f>
        <v>1</v>
      </c>
      <c r="N86" s="43" t="n">
        <f aca="false">POISSON($A86,Model!$G$53,TRUE())</f>
        <v>1</v>
      </c>
      <c r="O86" s="43" t="n">
        <f aca="false">POISSON($A86,Model!$G$54,TRUE())</f>
        <v>1</v>
      </c>
      <c r="P86" s="43" t="n">
        <f aca="false">POISSON($A86,Model!$G$55,TRUE())</f>
        <v>1</v>
      </c>
    </row>
    <row r="87" customFormat="false" ht="15" hidden="false" customHeight="false" outlineLevel="0" collapsed="false">
      <c r="A87" s="7" t="n">
        <v>83</v>
      </c>
      <c r="B87" s="43" t="n">
        <f aca="false">POISSON($A87,Model!B$16,TRUE())</f>
        <v>1</v>
      </c>
      <c r="C87" s="43" t="n">
        <f aca="false">POISSON($A87,Model!C$16,TRUE())</f>
        <v>1</v>
      </c>
      <c r="D87" s="43" t="n">
        <f aca="false">POISSON($A87,Model!D$16,TRUE())</f>
        <v>1</v>
      </c>
      <c r="E87" s="43" t="n">
        <f aca="false">POISSON($A87,Model!E$16,TRUE())</f>
        <v>1</v>
      </c>
      <c r="H87" s="43" t="n">
        <f aca="false">POISSON($A87,Model!$C$46,TRUE())</f>
        <v>1</v>
      </c>
      <c r="I87" s="43" t="n">
        <f aca="false">POISSON($A87,Model!$C$47,TRUE())</f>
        <v>1</v>
      </c>
      <c r="J87" s="43" t="n">
        <f aca="false">POISSON($A87,Model!$C$48,TRUE())</f>
        <v>1</v>
      </c>
      <c r="K87" s="43" t="n">
        <f aca="false">POISSON($A87,Model!$C$53,TRUE())</f>
        <v>1</v>
      </c>
      <c r="L87" s="43" t="n">
        <f aca="false">POISSON($A87,Model!$C$54,TRUE())</f>
        <v>1</v>
      </c>
      <c r="M87" s="43" t="n">
        <f aca="false">POISSON($A87,Model!$C$55,TRUE())</f>
        <v>1</v>
      </c>
      <c r="N87" s="43" t="n">
        <f aca="false">POISSON($A87,Model!$G$53,TRUE())</f>
        <v>1</v>
      </c>
      <c r="O87" s="43" t="n">
        <f aca="false">POISSON($A87,Model!$G$54,TRUE())</f>
        <v>1</v>
      </c>
      <c r="P87" s="43" t="n">
        <f aca="false">POISSON($A87,Model!$G$55,TRUE())</f>
        <v>1</v>
      </c>
    </row>
    <row r="88" customFormat="false" ht="15" hidden="false" customHeight="false" outlineLevel="0" collapsed="false">
      <c r="A88" s="7" t="n">
        <v>84</v>
      </c>
      <c r="B88" s="43" t="n">
        <f aca="false">POISSON($A88,Model!B$16,TRUE())</f>
        <v>1</v>
      </c>
      <c r="C88" s="43" t="n">
        <f aca="false">POISSON($A88,Model!C$16,TRUE())</f>
        <v>1</v>
      </c>
      <c r="D88" s="43" t="n">
        <f aca="false">POISSON($A88,Model!D$16,TRUE())</f>
        <v>1</v>
      </c>
      <c r="E88" s="43" t="n">
        <f aca="false">POISSON($A88,Model!E$16,TRUE())</f>
        <v>1</v>
      </c>
      <c r="H88" s="43" t="n">
        <f aca="false">POISSON($A88,Model!$C$46,TRUE())</f>
        <v>1</v>
      </c>
      <c r="I88" s="43" t="n">
        <f aca="false">POISSON($A88,Model!$C$47,TRUE())</f>
        <v>1</v>
      </c>
      <c r="J88" s="43" t="n">
        <f aca="false">POISSON($A88,Model!$C$48,TRUE())</f>
        <v>1</v>
      </c>
      <c r="K88" s="43" t="n">
        <f aca="false">POISSON($A88,Model!$C$53,TRUE())</f>
        <v>1</v>
      </c>
      <c r="L88" s="43" t="n">
        <f aca="false">POISSON($A88,Model!$C$54,TRUE())</f>
        <v>1</v>
      </c>
      <c r="M88" s="43" t="n">
        <f aca="false">POISSON($A88,Model!$C$55,TRUE())</f>
        <v>1</v>
      </c>
      <c r="N88" s="43" t="n">
        <f aca="false">POISSON($A88,Model!$G$53,TRUE())</f>
        <v>1</v>
      </c>
      <c r="O88" s="43" t="n">
        <f aca="false">POISSON($A88,Model!$G$54,TRUE())</f>
        <v>1</v>
      </c>
      <c r="P88" s="43" t="n">
        <f aca="false">POISSON($A88,Model!$G$55,TRUE())</f>
        <v>1</v>
      </c>
    </row>
    <row r="89" customFormat="false" ht="15" hidden="false" customHeight="false" outlineLevel="0" collapsed="false">
      <c r="A89" s="7" t="n">
        <v>85</v>
      </c>
      <c r="B89" s="43" t="n">
        <f aca="false">POISSON($A89,Model!B$16,TRUE())</f>
        <v>1</v>
      </c>
      <c r="C89" s="43" t="n">
        <f aca="false">POISSON($A89,Model!C$16,TRUE())</f>
        <v>1</v>
      </c>
      <c r="D89" s="43" t="n">
        <f aca="false">POISSON($A89,Model!D$16,TRUE())</f>
        <v>1</v>
      </c>
      <c r="E89" s="43" t="n">
        <f aca="false">POISSON($A89,Model!E$16,TRUE())</f>
        <v>1</v>
      </c>
      <c r="H89" s="43" t="n">
        <f aca="false">POISSON($A89,Model!$C$46,TRUE())</f>
        <v>1</v>
      </c>
      <c r="I89" s="43" t="n">
        <f aca="false">POISSON($A89,Model!$C$47,TRUE())</f>
        <v>1</v>
      </c>
      <c r="J89" s="43" t="n">
        <f aca="false">POISSON($A89,Model!$C$48,TRUE())</f>
        <v>1</v>
      </c>
      <c r="K89" s="43" t="n">
        <f aca="false">POISSON($A89,Model!$C$53,TRUE())</f>
        <v>1</v>
      </c>
      <c r="L89" s="43" t="n">
        <f aca="false">POISSON($A89,Model!$C$54,TRUE())</f>
        <v>1</v>
      </c>
      <c r="M89" s="43" t="n">
        <f aca="false">POISSON($A89,Model!$C$55,TRUE())</f>
        <v>1</v>
      </c>
      <c r="N89" s="43" t="n">
        <f aca="false">POISSON($A89,Model!$G$53,TRUE())</f>
        <v>1</v>
      </c>
      <c r="O89" s="43" t="n">
        <f aca="false">POISSON($A89,Model!$G$54,TRUE())</f>
        <v>1</v>
      </c>
      <c r="P89" s="43" t="n">
        <f aca="false">POISSON($A89,Model!$G$55,TRUE())</f>
        <v>1</v>
      </c>
    </row>
    <row r="90" customFormat="false" ht="15" hidden="false" customHeight="false" outlineLevel="0" collapsed="false">
      <c r="A90" s="7" t="n">
        <v>86</v>
      </c>
      <c r="B90" s="43" t="n">
        <f aca="false">POISSON($A90,Model!B$16,TRUE())</f>
        <v>1</v>
      </c>
      <c r="C90" s="43" t="n">
        <f aca="false">POISSON($A90,Model!C$16,TRUE())</f>
        <v>1</v>
      </c>
      <c r="D90" s="43" t="n">
        <f aca="false">POISSON($A90,Model!D$16,TRUE())</f>
        <v>1</v>
      </c>
      <c r="E90" s="43" t="n">
        <f aca="false">POISSON($A90,Model!E$16,TRUE())</f>
        <v>1</v>
      </c>
      <c r="H90" s="43" t="n">
        <f aca="false">POISSON($A90,Model!$C$46,TRUE())</f>
        <v>1</v>
      </c>
      <c r="I90" s="43" t="n">
        <f aca="false">POISSON($A90,Model!$C$47,TRUE())</f>
        <v>1</v>
      </c>
      <c r="J90" s="43" t="n">
        <f aca="false">POISSON($A90,Model!$C$48,TRUE())</f>
        <v>1</v>
      </c>
      <c r="K90" s="43" t="n">
        <f aca="false">POISSON($A90,Model!$C$53,TRUE())</f>
        <v>1</v>
      </c>
      <c r="L90" s="43" t="n">
        <f aca="false">POISSON($A90,Model!$C$54,TRUE())</f>
        <v>1</v>
      </c>
      <c r="M90" s="43" t="n">
        <f aca="false">POISSON($A90,Model!$C$55,TRUE())</f>
        <v>1</v>
      </c>
      <c r="N90" s="43" t="n">
        <f aca="false">POISSON($A90,Model!$G$53,TRUE())</f>
        <v>1</v>
      </c>
      <c r="O90" s="43" t="n">
        <f aca="false">POISSON($A90,Model!$G$54,TRUE())</f>
        <v>1</v>
      </c>
      <c r="P90" s="43" t="n">
        <f aca="false">POISSON($A90,Model!$G$55,TRUE())</f>
        <v>1</v>
      </c>
    </row>
    <row r="91" customFormat="false" ht="15" hidden="false" customHeight="false" outlineLevel="0" collapsed="false">
      <c r="A91" s="7" t="n">
        <v>87</v>
      </c>
      <c r="B91" s="43" t="n">
        <f aca="false">POISSON($A91,Model!B$16,TRUE())</f>
        <v>1</v>
      </c>
      <c r="C91" s="43" t="n">
        <f aca="false">POISSON($A91,Model!C$16,TRUE())</f>
        <v>1</v>
      </c>
      <c r="D91" s="43" t="n">
        <f aca="false">POISSON($A91,Model!D$16,TRUE())</f>
        <v>1</v>
      </c>
      <c r="E91" s="43" t="n">
        <f aca="false">POISSON($A91,Model!E$16,TRUE())</f>
        <v>1</v>
      </c>
      <c r="H91" s="43" t="n">
        <f aca="false">POISSON($A91,Model!$C$46,TRUE())</f>
        <v>1</v>
      </c>
      <c r="I91" s="43" t="n">
        <f aca="false">POISSON($A91,Model!$C$47,TRUE())</f>
        <v>1</v>
      </c>
      <c r="J91" s="43" t="n">
        <f aca="false">POISSON($A91,Model!$C$48,TRUE())</f>
        <v>1</v>
      </c>
      <c r="K91" s="43" t="n">
        <f aca="false">POISSON($A91,Model!$C$53,TRUE())</f>
        <v>1</v>
      </c>
      <c r="L91" s="43" t="n">
        <f aca="false">POISSON($A91,Model!$C$54,TRUE())</f>
        <v>1</v>
      </c>
      <c r="M91" s="43" t="n">
        <f aca="false">POISSON($A91,Model!$C$55,TRUE())</f>
        <v>1</v>
      </c>
      <c r="N91" s="43" t="n">
        <f aca="false">POISSON($A91,Model!$G$53,TRUE())</f>
        <v>1</v>
      </c>
      <c r="O91" s="43" t="n">
        <f aca="false">POISSON($A91,Model!$G$54,TRUE())</f>
        <v>1</v>
      </c>
      <c r="P91" s="43" t="n">
        <f aca="false">POISSON($A91,Model!$G$55,TRUE())</f>
        <v>1</v>
      </c>
    </row>
    <row r="92" customFormat="false" ht="15" hidden="false" customHeight="false" outlineLevel="0" collapsed="false">
      <c r="A92" s="7" t="n">
        <v>88</v>
      </c>
      <c r="B92" s="43" t="n">
        <f aca="false">POISSON($A92,Model!B$16,TRUE())</f>
        <v>1</v>
      </c>
      <c r="C92" s="43" t="n">
        <f aca="false">POISSON($A92,Model!C$16,TRUE())</f>
        <v>1</v>
      </c>
      <c r="D92" s="43" t="n">
        <f aca="false">POISSON($A92,Model!D$16,TRUE())</f>
        <v>1</v>
      </c>
      <c r="E92" s="43" t="n">
        <f aca="false">POISSON($A92,Model!E$16,TRUE())</f>
        <v>1</v>
      </c>
      <c r="H92" s="43" t="n">
        <f aca="false">POISSON($A92,Model!$C$46,TRUE())</f>
        <v>1</v>
      </c>
      <c r="I92" s="43" t="n">
        <f aca="false">POISSON($A92,Model!$C$47,TRUE())</f>
        <v>1</v>
      </c>
      <c r="J92" s="43" t="n">
        <f aca="false">POISSON($A92,Model!$C$48,TRUE())</f>
        <v>1</v>
      </c>
      <c r="K92" s="43" t="n">
        <f aca="false">POISSON($A92,Model!$C$53,TRUE())</f>
        <v>1</v>
      </c>
      <c r="L92" s="43" t="n">
        <f aca="false">POISSON($A92,Model!$C$54,TRUE())</f>
        <v>1</v>
      </c>
      <c r="M92" s="43" t="n">
        <f aca="false">POISSON($A92,Model!$C$55,TRUE())</f>
        <v>1</v>
      </c>
      <c r="N92" s="43" t="n">
        <f aca="false">POISSON($A92,Model!$G$53,TRUE())</f>
        <v>1</v>
      </c>
      <c r="O92" s="43" t="n">
        <f aca="false">POISSON($A92,Model!$G$54,TRUE())</f>
        <v>1</v>
      </c>
      <c r="P92" s="43" t="n">
        <f aca="false">POISSON($A92,Model!$G$55,TRUE())</f>
        <v>1</v>
      </c>
    </row>
    <row r="93" customFormat="false" ht="15" hidden="false" customHeight="false" outlineLevel="0" collapsed="false">
      <c r="A93" s="7" t="n">
        <v>89</v>
      </c>
      <c r="B93" s="43" t="n">
        <f aca="false">POISSON($A93,Model!B$16,TRUE())</f>
        <v>1</v>
      </c>
      <c r="C93" s="43" t="n">
        <f aca="false">POISSON($A93,Model!C$16,TRUE())</f>
        <v>1</v>
      </c>
      <c r="D93" s="43" t="n">
        <f aca="false">POISSON($A93,Model!D$16,TRUE())</f>
        <v>1</v>
      </c>
      <c r="E93" s="43" t="n">
        <f aca="false">POISSON($A93,Model!E$16,TRUE())</f>
        <v>1</v>
      </c>
      <c r="H93" s="43" t="n">
        <f aca="false">POISSON($A93,Model!$C$46,TRUE())</f>
        <v>1</v>
      </c>
      <c r="I93" s="43" t="n">
        <f aca="false">POISSON($A93,Model!$C$47,TRUE())</f>
        <v>1</v>
      </c>
      <c r="J93" s="43" t="n">
        <f aca="false">POISSON($A93,Model!$C$48,TRUE())</f>
        <v>1</v>
      </c>
      <c r="K93" s="43" t="n">
        <f aca="false">POISSON($A93,Model!$C$53,TRUE())</f>
        <v>1</v>
      </c>
      <c r="L93" s="43" t="n">
        <f aca="false">POISSON($A93,Model!$C$54,TRUE())</f>
        <v>1</v>
      </c>
      <c r="M93" s="43" t="n">
        <f aca="false">POISSON($A93,Model!$C$55,TRUE())</f>
        <v>1</v>
      </c>
      <c r="N93" s="43" t="n">
        <f aca="false">POISSON($A93,Model!$G$53,TRUE())</f>
        <v>1</v>
      </c>
      <c r="O93" s="43" t="n">
        <f aca="false">POISSON($A93,Model!$G$54,TRUE())</f>
        <v>1</v>
      </c>
      <c r="P93" s="43" t="n">
        <f aca="false">POISSON($A93,Model!$G$55,TRUE())</f>
        <v>1</v>
      </c>
    </row>
    <row r="94" customFormat="false" ht="15" hidden="false" customHeight="false" outlineLevel="0" collapsed="false">
      <c r="A94" s="7" t="n">
        <v>90</v>
      </c>
      <c r="B94" s="43" t="n">
        <f aca="false">POISSON($A94,Model!B$16,TRUE())</f>
        <v>1</v>
      </c>
      <c r="C94" s="43" t="n">
        <f aca="false">POISSON($A94,Model!C$16,TRUE())</f>
        <v>1</v>
      </c>
      <c r="D94" s="43" t="n">
        <f aca="false">POISSON($A94,Model!D$16,TRUE())</f>
        <v>1</v>
      </c>
      <c r="E94" s="43" t="n">
        <f aca="false">POISSON($A94,Model!E$16,TRUE())</f>
        <v>1</v>
      </c>
      <c r="H94" s="43" t="n">
        <f aca="false">POISSON($A94,Model!$C$46,TRUE())</f>
        <v>1</v>
      </c>
      <c r="I94" s="43" t="n">
        <f aca="false">POISSON($A94,Model!$C$47,TRUE())</f>
        <v>1</v>
      </c>
      <c r="J94" s="43" t="n">
        <f aca="false">POISSON($A94,Model!$C$48,TRUE())</f>
        <v>1</v>
      </c>
      <c r="K94" s="43" t="n">
        <f aca="false">POISSON($A94,Model!$C$53,TRUE())</f>
        <v>1</v>
      </c>
      <c r="L94" s="43" t="n">
        <f aca="false">POISSON($A94,Model!$C$54,TRUE())</f>
        <v>1</v>
      </c>
      <c r="M94" s="43" t="n">
        <f aca="false">POISSON($A94,Model!$C$55,TRUE())</f>
        <v>1</v>
      </c>
      <c r="N94" s="43" t="n">
        <f aca="false">POISSON($A94,Model!$G$53,TRUE())</f>
        <v>1</v>
      </c>
      <c r="O94" s="43" t="n">
        <f aca="false">POISSON($A94,Model!$G$54,TRUE())</f>
        <v>1</v>
      </c>
      <c r="P94" s="43" t="n">
        <f aca="false">POISSON($A94,Model!$G$55,TRUE())</f>
        <v>1</v>
      </c>
    </row>
    <row r="95" customFormat="false" ht="15" hidden="false" customHeight="false" outlineLevel="0" collapsed="false">
      <c r="A95" s="7" t="n">
        <v>91</v>
      </c>
      <c r="B95" s="43" t="n">
        <f aca="false">POISSON($A95,Model!B$16,TRUE())</f>
        <v>1</v>
      </c>
      <c r="C95" s="43" t="n">
        <f aca="false">POISSON($A95,Model!C$16,TRUE())</f>
        <v>1</v>
      </c>
      <c r="D95" s="43" t="n">
        <f aca="false">POISSON($A95,Model!D$16,TRUE())</f>
        <v>1</v>
      </c>
      <c r="E95" s="43" t="n">
        <f aca="false">POISSON($A95,Model!E$16,TRUE())</f>
        <v>1</v>
      </c>
      <c r="H95" s="43" t="n">
        <f aca="false">POISSON($A95,Model!$C$46,TRUE())</f>
        <v>1</v>
      </c>
      <c r="I95" s="43" t="n">
        <f aca="false">POISSON($A95,Model!$C$47,TRUE())</f>
        <v>1</v>
      </c>
      <c r="J95" s="43" t="n">
        <f aca="false">POISSON($A95,Model!$C$48,TRUE())</f>
        <v>1</v>
      </c>
      <c r="K95" s="43" t="n">
        <f aca="false">POISSON($A95,Model!$C$53,TRUE())</f>
        <v>1</v>
      </c>
      <c r="L95" s="43" t="n">
        <f aca="false">POISSON($A95,Model!$C$54,TRUE())</f>
        <v>1</v>
      </c>
      <c r="M95" s="43" t="n">
        <f aca="false">POISSON($A95,Model!$C$55,TRUE())</f>
        <v>1</v>
      </c>
      <c r="N95" s="43" t="n">
        <f aca="false">POISSON($A95,Model!$G$53,TRUE())</f>
        <v>1</v>
      </c>
      <c r="O95" s="43" t="n">
        <f aca="false">POISSON($A95,Model!$G$54,TRUE())</f>
        <v>1</v>
      </c>
      <c r="P95" s="43" t="n">
        <f aca="false">POISSON($A95,Model!$G$55,TRUE())</f>
        <v>1</v>
      </c>
    </row>
    <row r="96" customFormat="false" ht="15" hidden="false" customHeight="false" outlineLevel="0" collapsed="false">
      <c r="A96" s="7" t="n">
        <v>92</v>
      </c>
      <c r="B96" s="43" t="n">
        <f aca="false">POISSON($A96,Model!B$16,TRUE())</f>
        <v>1</v>
      </c>
      <c r="C96" s="43" t="n">
        <f aca="false">POISSON($A96,Model!C$16,TRUE())</f>
        <v>1</v>
      </c>
      <c r="D96" s="43" t="n">
        <f aca="false">POISSON($A96,Model!D$16,TRUE())</f>
        <v>1</v>
      </c>
      <c r="E96" s="43" t="n">
        <f aca="false">POISSON($A96,Model!E$16,TRUE())</f>
        <v>1</v>
      </c>
      <c r="H96" s="43" t="n">
        <f aca="false">POISSON($A96,Model!$C$46,TRUE())</f>
        <v>1</v>
      </c>
      <c r="I96" s="43" t="n">
        <f aca="false">POISSON($A96,Model!$C$47,TRUE())</f>
        <v>1</v>
      </c>
      <c r="J96" s="43" t="n">
        <f aca="false">POISSON($A96,Model!$C$48,TRUE())</f>
        <v>1</v>
      </c>
      <c r="K96" s="43" t="n">
        <f aca="false">POISSON($A96,Model!$C$53,TRUE())</f>
        <v>1</v>
      </c>
      <c r="L96" s="43" t="n">
        <f aca="false">POISSON($A96,Model!$C$54,TRUE())</f>
        <v>1</v>
      </c>
      <c r="M96" s="43" t="n">
        <f aca="false">POISSON($A96,Model!$C$55,TRUE())</f>
        <v>1</v>
      </c>
      <c r="N96" s="43" t="n">
        <f aca="false">POISSON($A96,Model!$G$53,TRUE())</f>
        <v>1</v>
      </c>
      <c r="O96" s="43" t="n">
        <f aca="false">POISSON($A96,Model!$G$54,TRUE())</f>
        <v>1</v>
      </c>
      <c r="P96" s="43" t="n">
        <f aca="false">POISSON($A96,Model!$G$55,TRUE())</f>
        <v>1</v>
      </c>
    </row>
    <row r="97" customFormat="false" ht="15" hidden="false" customHeight="false" outlineLevel="0" collapsed="false">
      <c r="A97" s="7" t="n">
        <v>93</v>
      </c>
      <c r="B97" s="43" t="n">
        <f aca="false">POISSON($A97,Model!B$16,TRUE())</f>
        <v>1</v>
      </c>
      <c r="C97" s="43" t="n">
        <f aca="false">POISSON($A97,Model!C$16,TRUE())</f>
        <v>1</v>
      </c>
      <c r="D97" s="43" t="n">
        <f aca="false">POISSON($A97,Model!D$16,TRUE())</f>
        <v>1</v>
      </c>
      <c r="E97" s="43" t="n">
        <f aca="false">POISSON($A97,Model!E$16,TRUE())</f>
        <v>1</v>
      </c>
      <c r="H97" s="43" t="n">
        <f aca="false">POISSON($A97,Model!$C$46,TRUE())</f>
        <v>1</v>
      </c>
      <c r="I97" s="43" t="n">
        <f aca="false">POISSON($A97,Model!$C$47,TRUE())</f>
        <v>1</v>
      </c>
      <c r="J97" s="43" t="n">
        <f aca="false">POISSON($A97,Model!$C$48,TRUE())</f>
        <v>1</v>
      </c>
      <c r="K97" s="43" t="n">
        <f aca="false">POISSON($A97,Model!$C$53,TRUE())</f>
        <v>1</v>
      </c>
      <c r="L97" s="43" t="n">
        <f aca="false">POISSON($A97,Model!$C$54,TRUE())</f>
        <v>1</v>
      </c>
      <c r="M97" s="43" t="n">
        <f aca="false">POISSON($A97,Model!$C$55,TRUE())</f>
        <v>1</v>
      </c>
      <c r="N97" s="43" t="n">
        <f aca="false">POISSON($A97,Model!$G$53,TRUE())</f>
        <v>1</v>
      </c>
      <c r="O97" s="43" t="n">
        <f aca="false">POISSON($A97,Model!$G$54,TRUE())</f>
        <v>1</v>
      </c>
      <c r="P97" s="43" t="n">
        <f aca="false">POISSON($A97,Model!$G$55,TRUE())</f>
        <v>1</v>
      </c>
    </row>
    <row r="98" customFormat="false" ht="15" hidden="false" customHeight="false" outlineLevel="0" collapsed="false">
      <c r="A98" s="7" t="n">
        <v>94</v>
      </c>
      <c r="B98" s="43" t="n">
        <f aca="false">POISSON($A98,Model!B$16,TRUE())</f>
        <v>1</v>
      </c>
      <c r="C98" s="43" t="n">
        <f aca="false">POISSON($A98,Model!C$16,TRUE())</f>
        <v>1</v>
      </c>
      <c r="D98" s="43" t="n">
        <f aca="false">POISSON($A98,Model!D$16,TRUE())</f>
        <v>1</v>
      </c>
      <c r="E98" s="43" t="n">
        <f aca="false">POISSON($A98,Model!E$16,TRUE())</f>
        <v>1</v>
      </c>
      <c r="H98" s="43" t="n">
        <f aca="false">POISSON($A98,Model!$C$46,TRUE())</f>
        <v>1</v>
      </c>
      <c r="I98" s="43" t="n">
        <f aca="false">POISSON($A98,Model!$C$47,TRUE())</f>
        <v>1</v>
      </c>
      <c r="J98" s="43" t="n">
        <f aca="false">POISSON($A98,Model!$C$48,TRUE())</f>
        <v>1</v>
      </c>
      <c r="K98" s="43" t="n">
        <f aca="false">POISSON($A98,Model!$C$53,TRUE())</f>
        <v>1</v>
      </c>
      <c r="L98" s="43" t="n">
        <f aca="false">POISSON($A98,Model!$C$54,TRUE())</f>
        <v>1</v>
      </c>
      <c r="M98" s="43" t="n">
        <f aca="false">POISSON($A98,Model!$C$55,TRUE())</f>
        <v>1</v>
      </c>
      <c r="N98" s="43" t="n">
        <f aca="false">POISSON($A98,Model!$G$53,TRUE())</f>
        <v>1</v>
      </c>
      <c r="O98" s="43" t="n">
        <f aca="false">POISSON($A98,Model!$G$54,TRUE())</f>
        <v>1</v>
      </c>
      <c r="P98" s="43" t="n">
        <f aca="false">POISSON($A98,Model!$G$55,TRUE())</f>
        <v>1</v>
      </c>
    </row>
    <row r="99" customFormat="false" ht="15" hidden="false" customHeight="false" outlineLevel="0" collapsed="false">
      <c r="A99" s="7" t="n">
        <v>95</v>
      </c>
      <c r="B99" s="43" t="n">
        <f aca="false">POISSON($A99,Model!B$16,TRUE())</f>
        <v>1</v>
      </c>
      <c r="C99" s="43" t="n">
        <f aca="false">POISSON($A99,Model!C$16,TRUE())</f>
        <v>1</v>
      </c>
      <c r="D99" s="43" t="n">
        <f aca="false">POISSON($A99,Model!D$16,TRUE())</f>
        <v>1</v>
      </c>
      <c r="E99" s="43" t="n">
        <f aca="false">POISSON($A99,Model!E$16,TRUE())</f>
        <v>1</v>
      </c>
      <c r="H99" s="43" t="n">
        <f aca="false">POISSON($A99,Model!$C$46,TRUE())</f>
        <v>1</v>
      </c>
      <c r="I99" s="43" t="n">
        <f aca="false">POISSON($A99,Model!$C$47,TRUE())</f>
        <v>1</v>
      </c>
      <c r="J99" s="43" t="n">
        <f aca="false">POISSON($A99,Model!$C$48,TRUE())</f>
        <v>1</v>
      </c>
      <c r="K99" s="43" t="n">
        <f aca="false">POISSON($A99,Model!$C$53,TRUE())</f>
        <v>1</v>
      </c>
      <c r="L99" s="43" t="n">
        <f aca="false">POISSON($A99,Model!$C$54,TRUE())</f>
        <v>1</v>
      </c>
      <c r="M99" s="43" t="n">
        <f aca="false">POISSON($A99,Model!$C$55,TRUE())</f>
        <v>1</v>
      </c>
      <c r="N99" s="43" t="n">
        <f aca="false">POISSON($A99,Model!$G$53,TRUE())</f>
        <v>1</v>
      </c>
      <c r="O99" s="43" t="n">
        <f aca="false">POISSON($A99,Model!$G$54,TRUE())</f>
        <v>1</v>
      </c>
      <c r="P99" s="43" t="n">
        <f aca="false">POISSON($A99,Model!$G$55,TRUE())</f>
        <v>1</v>
      </c>
    </row>
    <row r="100" customFormat="false" ht="15" hidden="false" customHeight="false" outlineLevel="0" collapsed="false">
      <c r="A100" s="7" t="n">
        <v>96</v>
      </c>
      <c r="B100" s="43" t="n">
        <f aca="false">POISSON($A100,Model!B$16,TRUE())</f>
        <v>1</v>
      </c>
      <c r="C100" s="43" t="n">
        <f aca="false">POISSON($A100,Model!C$16,TRUE())</f>
        <v>1</v>
      </c>
      <c r="D100" s="43" t="n">
        <f aca="false">POISSON($A100,Model!D$16,TRUE())</f>
        <v>1</v>
      </c>
      <c r="E100" s="43" t="n">
        <f aca="false">POISSON($A100,Model!E$16,TRUE())</f>
        <v>1</v>
      </c>
      <c r="H100" s="43" t="n">
        <f aca="false">POISSON($A100,Model!$C$46,TRUE())</f>
        <v>1</v>
      </c>
      <c r="I100" s="43" t="n">
        <f aca="false">POISSON($A100,Model!$C$47,TRUE())</f>
        <v>1</v>
      </c>
      <c r="J100" s="43" t="n">
        <f aca="false">POISSON($A100,Model!$C$48,TRUE())</f>
        <v>1</v>
      </c>
      <c r="K100" s="43" t="n">
        <f aca="false">POISSON($A100,Model!$C$53,TRUE())</f>
        <v>1</v>
      </c>
      <c r="L100" s="43" t="n">
        <f aca="false">POISSON($A100,Model!$C$54,TRUE())</f>
        <v>1</v>
      </c>
      <c r="M100" s="43" t="n">
        <f aca="false">POISSON($A100,Model!$C$55,TRUE())</f>
        <v>1</v>
      </c>
      <c r="N100" s="43" t="n">
        <f aca="false">POISSON($A100,Model!$G$53,TRUE())</f>
        <v>1</v>
      </c>
      <c r="O100" s="43" t="n">
        <f aca="false">POISSON($A100,Model!$G$54,TRUE())</f>
        <v>1</v>
      </c>
      <c r="P100" s="43" t="n">
        <f aca="false">POISSON($A100,Model!$G$55,TRUE())</f>
        <v>1</v>
      </c>
    </row>
    <row r="101" customFormat="false" ht="15" hidden="false" customHeight="false" outlineLevel="0" collapsed="false">
      <c r="A101" s="7" t="n">
        <v>97</v>
      </c>
      <c r="B101" s="43" t="n">
        <f aca="false">POISSON($A101,Model!B$16,TRUE())</f>
        <v>1</v>
      </c>
      <c r="C101" s="43" t="n">
        <f aca="false">POISSON($A101,Model!C$16,TRUE())</f>
        <v>1</v>
      </c>
      <c r="D101" s="43" t="n">
        <f aca="false">POISSON($A101,Model!D$16,TRUE())</f>
        <v>1</v>
      </c>
      <c r="E101" s="43" t="n">
        <f aca="false">POISSON($A101,Model!E$16,TRUE())</f>
        <v>1</v>
      </c>
      <c r="H101" s="43" t="n">
        <f aca="false">POISSON($A101,Model!$C$46,TRUE())</f>
        <v>1</v>
      </c>
      <c r="I101" s="43" t="n">
        <f aca="false">POISSON($A101,Model!$C$47,TRUE())</f>
        <v>1</v>
      </c>
      <c r="J101" s="43" t="n">
        <f aca="false">POISSON($A101,Model!$C$48,TRUE())</f>
        <v>1</v>
      </c>
      <c r="K101" s="43" t="n">
        <f aca="false">POISSON($A101,Model!$C$53,TRUE())</f>
        <v>1</v>
      </c>
      <c r="L101" s="43" t="n">
        <f aca="false">POISSON($A101,Model!$C$54,TRUE())</f>
        <v>1</v>
      </c>
      <c r="M101" s="43" t="n">
        <f aca="false">POISSON($A101,Model!$C$55,TRUE())</f>
        <v>1</v>
      </c>
      <c r="N101" s="43" t="n">
        <f aca="false">POISSON($A101,Model!$G$53,TRUE())</f>
        <v>1</v>
      </c>
      <c r="O101" s="43" t="n">
        <f aca="false">POISSON($A101,Model!$G$54,TRUE())</f>
        <v>1</v>
      </c>
      <c r="P101" s="43" t="n">
        <f aca="false">POISSON($A101,Model!$G$55,TRUE())</f>
        <v>1</v>
      </c>
    </row>
    <row r="102" customFormat="false" ht="15" hidden="false" customHeight="false" outlineLevel="0" collapsed="false">
      <c r="A102" s="7" t="n">
        <v>98</v>
      </c>
      <c r="B102" s="43" t="n">
        <f aca="false">POISSON($A102,Model!B$16,TRUE())</f>
        <v>1</v>
      </c>
      <c r="C102" s="43" t="n">
        <f aca="false">POISSON($A102,Model!C$16,TRUE())</f>
        <v>1</v>
      </c>
      <c r="D102" s="43" t="n">
        <f aca="false">POISSON($A102,Model!D$16,TRUE())</f>
        <v>1</v>
      </c>
      <c r="E102" s="43" t="n">
        <f aca="false">POISSON($A102,Model!E$16,TRUE())</f>
        <v>1</v>
      </c>
      <c r="H102" s="43" t="n">
        <f aca="false">POISSON($A102,Model!$C$46,TRUE())</f>
        <v>1</v>
      </c>
      <c r="I102" s="43" t="n">
        <f aca="false">POISSON($A102,Model!$C$47,TRUE())</f>
        <v>1</v>
      </c>
      <c r="J102" s="43" t="n">
        <f aca="false">POISSON($A102,Model!$C$48,TRUE())</f>
        <v>1</v>
      </c>
      <c r="K102" s="43" t="n">
        <f aca="false">POISSON($A102,Model!$C$53,TRUE())</f>
        <v>1</v>
      </c>
      <c r="L102" s="43" t="n">
        <f aca="false">POISSON($A102,Model!$C$54,TRUE())</f>
        <v>1</v>
      </c>
      <c r="M102" s="43" t="n">
        <f aca="false">POISSON($A102,Model!$C$55,TRUE())</f>
        <v>1</v>
      </c>
      <c r="N102" s="43" t="n">
        <f aca="false">POISSON($A102,Model!$G$53,TRUE())</f>
        <v>1</v>
      </c>
      <c r="O102" s="43" t="n">
        <f aca="false">POISSON($A102,Model!$G$54,TRUE())</f>
        <v>1</v>
      </c>
      <c r="P102" s="43" t="n">
        <f aca="false">POISSON($A102,Model!$G$55,TRUE())</f>
        <v>1</v>
      </c>
    </row>
    <row r="103" customFormat="false" ht="15" hidden="false" customHeight="false" outlineLevel="0" collapsed="false">
      <c r="A103" s="7" t="n">
        <v>99</v>
      </c>
      <c r="B103" s="43" t="n">
        <f aca="false">POISSON($A103,Model!B$16,TRUE())</f>
        <v>1</v>
      </c>
      <c r="C103" s="43" t="n">
        <f aca="false">POISSON($A103,Model!C$16,TRUE())</f>
        <v>1</v>
      </c>
      <c r="D103" s="43" t="n">
        <f aca="false">POISSON($A103,Model!D$16,TRUE())</f>
        <v>1</v>
      </c>
      <c r="E103" s="43" t="n">
        <f aca="false">POISSON($A103,Model!E$16,TRUE())</f>
        <v>1</v>
      </c>
      <c r="H103" s="43" t="n">
        <f aca="false">POISSON($A103,Model!$C$46,TRUE())</f>
        <v>1</v>
      </c>
      <c r="I103" s="43" t="n">
        <f aca="false">POISSON($A103,Model!$C$47,TRUE())</f>
        <v>1</v>
      </c>
      <c r="J103" s="43" t="n">
        <f aca="false">POISSON($A103,Model!$C$48,TRUE())</f>
        <v>1</v>
      </c>
      <c r="K103" s="43" t="n">
        <f aca="false">POISSON($A103,Model!$C$53,TRUE())</f>
        <v>1</v>
      </c>
      <c r="L103" s="43" t="n">
        <f aca="false">POISSON($A103,Model!$C$54,TRUE())</f>
        <v>1</v>
      </c>
      <c r="M103" s="43" t="n">
        <f aca="false">POISSON($A103,Model!$C$55,TRUE())</f>
        <v>1</v>
      </c>
      <c r="N103" s="43" t="n">
        <f aca="false">POISSON($A103,Model!$G$53,TRUE())</f>
        <v>1</v>
      </c>
      <c r="O103" s="43" t="n">
        <f aca="false">POISSON($A103,Model!$G$54,TRUE())</f>
        <v>1</v>
      </c>
      <c r="P103" s="43" t="n">
        <f aca="false">POISSON($A103,Model!$G$55,TRUE())</f>
        <v>1</v>
      </c>
    </row>
    <row r="104" customFormat="false" ht="15" hidden="false" customHeight="false" outlineLevel="0" collapsed="false">
      <c r="A104" s="7" t="n">
        <v>100</v>
      </c>
      <c r="B104" s="43" t="n">
        <f aca="false">POISSON($A104,Model!B$16,TRUE())</f>
        <v>1</v>
      </c>
      <c r="C104" s="43" t="n">
        <f aca="false">POISSON($A104,Model!C$16,TRUE())</f>
        <v>1</v>
      </c>
      <c r="D104" s="43" t="n">
        <f aca="false">POISSON($A104,Model!D$16,TRUE())</f>
        <v>1</v>
      </c>
      <c r="E104" s="43" t="n">
        <f aca="false">POISSON($A104,Model!E$16,TRUE())</f>
        <v>1</v>
      </c>
      <c r="H104" s="43" t="n">
        <f aca="false">POISSON($A104,Model!$C$46,TRUE())</f>
        <v>1</v>
      </c>
      <c r="I104" s="43" t="n">
        <f aca="false">POISSON($A104,Model!$C$47,TRUE())</f>
        <v>1</v>
      </c>
      <c r="J104" s="43" t="n">
        <f aca="false">POISSON($A104,Model!$C$48,TRUE())</f>
        <v>1</v>
      </c>
      <c r="K104" s="43" t="n">
        <f aca="false">POISSON($A104,Model!$C$53,TRUE())</f>
        <v>1</v>
      </c>
      <c r="L104" s="43" t="n">
        <f aca="false">POISSON($A104,Model!$C$54,TRUE())</f>
        <v>1</v>
      </c>
      <c r="M104" s="43" t="n">
        <f aca="false">POISSON($A104,Model!$C$55,TRUE())</f>
        <v>1</v>
      </c>
      <c r="N104" s="43" t="n">
        <f aca="false">POISSON($A104,Model!$G$53,TRUE())</f>
        <v>1</v>
      </c>
      <c r="O104" s="43" t="n">
        <f aca="false">POISSON($A104,Model!$G$54,TRUE())</f>
        <v>1</v>
      </c>
      <c r="P104" s="43" t="n">
        <f aca="false">POISSON($A104,Model!$G$55,TRUE())</f>
        <v>1</v>
      </c>
    </row>
    <row r="105" customFormat="false" ht="15" hidden="false" customHeight="false" outlineLevel="0" collapsed="false">
      <c r="A105" s="7" t="n">
        <v>101</v>
      </c>
      <c r="B105" s="43" t="n">
        <f aca="false">POISSON($A105,Model!B$16,TRUE())</f>
        <v>1</v>
      </c>
      <c r="C105" s="43" t="n">
        <f aca="false">POISSON($A105,Model!C$16,TRUE())</f>
        <v>1</v>
      </c>
      <c r="D105" s="43" t="n">
        <f aca="false">POISSON($A105,Model!D$16,TRUE())</f>
        <v>1</v>
      </c>
      <c r="E105" s="43" t="n">
        <f aca="false">POISSON($A105,Model!E$16,TRUE())</f>
        <v>1</v>
      </c>
      <c r="H105" s="43" t="n">
        <f aca="false">POISSON($A105,Model!$C$46,TRUE())</f>
        <v>1</v>
      </c>
      <c r="I105" s="43" t="n">
        <f aca="false">POISSON($A105,Model!$C$47,TRUE())</f>
        <v>1</v>
      </c>
      <c r="J105" s="43" t="n">
        <f aca="false">POISSON($A105,Model!$C$48,TRUE())</f>
        <v>1</v>
      </c>
      <c r="K105" s="43" t="n">
        <f aca="false">POISSON($A105,Model!$C$53,TRUE())</f>
        <v>1</v>
      </c>
      <c r="L105" s="43" t="n">
        <f aca="false">POISSON($A105,Model!$C$54,TRUE())</f>
        <v>1</v>
      </c>
      <c r="M105" s="43" t="n">
        <f aca="false">POISSON($A105,Model!$C$55,TRUE())</f>
        <v>1</v>
      </c>
      <c r="N105" s="43" t="n">
        <f aca="false">POISSON($A105,Model!$G$53,TRUE())</f>
        <v>1</v>
      </c>
      <c r="O105" s="43" t="n">
        <f aca="false">POISSON($A105,Model!$G$54,TRUE())</f>
        <v>1</v>
      </c>
      <c r="P105" s="43" t="n">
        <f aca="false">POISSON($A105,Model!$G$55,TRUE())</f>
        <v>1</v>
      </c>
    </row>
    <row r="106" customFormat="false" ht="15" hidden="false" customHeight="false" outlineLevel="0" collapsed="false">
      <c r="A106" s="7" t="n">
        <v>102</v>
      </c>
      <c r="B106" s="43" t="n">
        <f aca="false">POISSON($A106,Model!B$16,TRUE())</f>
        <v>1</v>
      </c>
      <c r="C106" s="43" t="n">
        <f aca="false">POISSON($A106,Model!C$16,TRUE())</f>
        <v>1</v>
      </c>
      <c r="D106" s="43" t="n">
        <f aca="false">POISSON($A106,Model!D$16,TRUE())</f>
        <v>1</v>
      </c>
      <c r="E106" s="43" t="n">
        <f aca="false">POISSON($A106,Model!E$16,TRUE())</f>
        <v>1</v>
      </c>
      <c r="H106" s="43" t="n">
        <f aca="false">POISSON($A106,Model!$C$46,TRUE())</f>
        <v>1</v>
      </c>
      <c r="I106" s="43" t="n">
        <f aca="false">POISSON($A106,Model!$C$47,TRUE())</f>
        <v>1</v>
      </c>
      <c r="J106" s="43" t="n">
        <f aca="false">POISSON($A106,Model!$C$48,TRUE())</f>
        <v>1</v>
      </c>
      <c r="K106" s="43" t="n">
        <f aca="false">POISSON($A106,Model!$C$53,TRUE())</f>
        <v>1</v>
      </c>
      <c r="L106" s="43" t="n">
        <f aca="false">POISSON($A106,Model!$C$54,TRUE())</f>
        <v>1</v>
      </c>
      <c r="M106" s="43" t="n">
        <f aca="false">POISSON($A106,Model!$C$55,TRUE())</f>
        <v>1</v>
      </c>
      <c r="N106" s="43" t="n">
        <f aca="false">POISSON($A106,Model!$G$53,TRUE())</f>
        <v>1</v>
      </c>
      <c r="O106" s="43" t="n">
        <f aca="false">POISSON($A106,Model!$G$54,TRUE())</f>
        <v>1</v>
      </c>
      <c r="P106" s="43" t="n">
        <f aca="false">POISSON($A106,Model!$G$55,TRUE())</f>
        <v>1</v>
      </c>
    </row>
    <row r="107" customFormat="false" ht="15" hidden="false" customHeight="false" outlineLevel="0" collapsed="false">
      <c r="A107" s="7" t="n">
        <v>103</v>
      </c>
      <c r="B107" s="43" t="n">
        <f aca="false">POISSON($A107,Model!B$16,TRUE())</f>
        <v>1</v>
      </c>
      <c r="C107" s="43" t="n">
        <f aca="false">POISSON($A107,Model!C$16,TRUE())</f>
        <v>1</v>
      </c>
      <c r="D107" s="43" t="n">
        <f aca="false">POISSON($A107,Model!D$16,TRUE())</f>
        <v>1</v>
      </c>
      <c r="E107" s="43" t="n">
        <f aca="false">POISSON($A107,Model!E$16,TRUE())</f>
        <v>1</v>
      </c>
      <c r="H107" s="43" t="n">
        <f aca="false">POISSON($A107,Model!$C$46,TRUE())</f>
        <v>1</v>
      </c>
      <c r="I107" s="43" t="n">
        <f aca="false">POISSON($A107,Model!$C$47,TRUE())</f>
        <v>1</v>
      </c>
      <c r="J107" s="43" t="n">
        <f aca="false">POISSON($A107,Model!$C$48,TRUE())</f>
        <v>1</v>
      </c>
      <c r="K107" s="43" t="n">
        <f aca="false">POISSON($A107,Model!$C$53,TRUE())</f>
        <v>1</v>
      </c>
      <c r="L107" s="43" t="n">
        <f aca="false">POISSON($A107,Model!$C$54,TRUE())</f>
        <v>1</v>
      </c>
      <c r="M107" s="43" t="n">
        <f aca="false">POISSON($A107,Model!$C$55,TRUE())</f>
        <v>1</v>
      </c>
      <c r="N107" s="43" t="n">
        <f aca="false">POISSON($A107,Model!$G$53,TRUE())</f>
        <v>1</v>
      </c>
      <c r="O107" s="43" t="n">
        <f aca="false">POISSON($A107,Model!$G$54,TRUE())</f>
        <v>1</v>
      </c>
      <c r="P107" s="43" t="n">
        <f aca="false">POISSON($A107,Model!$G$55,TRUE())</f>
        <v>1</v>
      </c>
    </row>
    <row r="108" customFormat="false" ht="15" hidden="false" customHeight="false" outlineLevel="0" collapsed="false">
      <c r="A108" s="7" t="n">
        <v>104</v>
      </c>
      <c r="B108" s="43" t="n">
        <f aca="false">POISSON($A108,Model!B$16,TRUE())</f>
        <v>1</v>
      </c>
      <c r="C108" s="43" t="n">
        <f aca="false">POISSON($A108,Model!C$16,TRUE())</f>
        <v>1</v>
      </c>
      <c r="D108" s="43" t="n">
        <f aca="false">POISSON($A108,Model!D$16,TRUE())</f>
        <v>1</v>
      </c>
      <c r="E108" s="43" t="n">
        <f aca="false">POISSON($A108,Model!E$16,TRUE())</f>
        <v>1</v>
      </c>
      <c r="H108" s="43" t="n">
        <f aca="false">POISSON($A108,Model!$C$46,TRUE())</f>
        <v>1</v>
      </c>
      <c r="I108" s="43" t="n">
        <f aca="false">POISSON($A108,Model!$C$47,TRUE())</f>
        <v>1</v>
      </c>
      <c r="J108" s="43" t="n">
        <f aca="false">POISSON($A108,Model!$C$48,TRUE())</f>
        <v>1</v>
      </c>
      <c r="K108" s="43" t="n">
        <f aca="false">POISSON($A108,Model!$C$53,TRUE())</f>
        <v>1</v>
      </c>
      <c r="L108" s="43" t="n">
        <f aca="false">POISSON($A108,Model!$C$54,TRUE())</f>
        <v>1</v>
      </c>
      <c r="M108" s="43" t="n">
        <f aca="false">POISSON($A108,Model!$C$55,TRUE())</f>
        <v>1</v>
      </c>
      <c r="N108" s="43" t="n">
        <f aca="false">POISSON($A108,Model!$G$53,TRUE())</f>
        <v>1</v>
      </c>
      <c r="O108" s="43" t="n">
        <f aca="false">POISSON($A108,Model!$G$54,TRUE())</f>
        <v>1</v>
      </c>
      <c r="P108" s="43" t="n">
        <f aca="false">POISSON($A108,Model!$G$55,TRUE())</f>
        <v>1</v>
      </c>
    </row>
    <row r="109" customFormat="false" ht="15" hidden="false" customHeight="false" outlineLevel="0" collapsed="false">
      <c r="A109" s="7" t="n">
        <v>105</v>
      </c>
      <c r="B109" s="43" t="n">
        <f aca="false">POISSON($A109,Model!B$16,TRUE())</f>
        <v>1</v>
      </c>
      <c r="C109" s="43" t="n">
        <f aca="false">POISSON($A109,Model!C$16,TRUE())</f>
        <v>1</v>
      </c>
      <c r="D109" s="43" t="n">
        <f aca="false">POISSON($A109,Model!D$16,TRUE())</f>
        <v>1</v>
      </c>
      <c r="E109" s="43" t="n">
        <f aca="false">POISSON($A109,Model!E$16,TRUE())</f>
        <v>1</v>
      </c>
      <c r="H109" s="43" t="n">
        <f aca="false">POISSON($A109,Model!$C$46,TRUE())</f>
        <v>1</v>
      </c>
      <c r="I109" s="43" t="n">
        <f aca="false">POISSON($A109,Model!$C$47,TRUE())</f>
        <v>1</v>
      </c>
      <c r="J109" s="43" t="n">
        <f aca="false">POISSON($A109,Model!$C$48,TRUE())</f>
        <v>1</v>
      </c>
      <c r="K109" s="43" t="n">
        <f aca="false">POISSON($A109,Model!$C$53,TRUE())</f>
        <v>1</v>
      </c>
      <c r="L109" s="43" t="n">
        <f aca="false">POISSON($A109,Model!$C$54,TRUE())</f>
        <v>1</v>
      </c>
      <c r="M109" s="43" t="n">
        <f aca="false">POISSON($A109,Model!$C$55,TRUE())</f>
        <v>1</v>
      </c>
      <c r="N109" s="43" t="n">
        <f aca="false">POISSON($A109,Model!$G$53,TRUE())</f>
        <v>1</v>
      </c>
      <c r="O109" s="43" t="n">
        <f aca="false">POISSON($A109,Model!$G$54,TRUE())</f>
        <v>1</v>
      </c>
      <c r="P109" s="43" t="n">
        <f aca="false">POISSON($A109,Model!$G$55,TRUE())</f>
        <v>1</v>
      </c>
    </row>
    <row r="110" customFormat="false" ht="15" hidden="false" customHeight="false" outlineLevel="0" collapsed="false">
      <c r="A110" s="7" t="n">
        <v>106</v>
      </c>
      <c r="B110" s="43" t="n">
        <f aca="false">POISSON($A110,Model!B$16,TRUE())</f>
        <v>1</v>
      </c>
      <c r="C110" s="43" t="n">
        <f aca="false">POISSON($A110,Model!C$16,TRUE())</f>
        <v>1</v>
      </c>
      <c r="D110" s="43" t="n">
        <f aca="false">POISSON($A110,Model!D$16,TRUE())</f>
        <v>1</v>
      </c>
      <c r="E110" s="43" t="n">
        <f aca="false">POISSON($A110,Model!E$16,TRUE())</f>
        <v>1</v>
      </c>
      <c r="H110" s="43" t="n">
        <f aca="false">POISSON($A110,Model!$C$46,TRUE())</f>
        <v>1</v>
      </c>
      <c r="I110" s="43" t="n">
        <f aca="false">POISSON($A110,Model!$C$47,TRUE())</f>
        <v>1</v>
      </c>
      <c r="J110" s="43" t="n">
        <f aca="false">POISSON($A110,Model!$C$48,TRUE())</f>
        <v>1</v>
      </c>
      <c r="K110" s="43" t="n">
        <f aca="false">POISSON($A110,Model!$C$53,TRUE())</f>
        <v>1</v>
      </c>
      <c r="L110" s="43" t="n">
        <f aca="false">POISSON($A110,Model!$C$54,TRUE())</f>
        <v>1</v>
      </c>
      <c r="M110" s="43" t="n">
        <f aca="false">POISSON($A110,Model!$C$55,TRUE())</f>
        <v>1</v>
      </c>
      <c r="N110" s="43" t="n">
        <f aca="false">POISSON($A110,Model!$G$53,TRUE())</f>
        <v>1</v>
      </c>
      <c r="O110" s="43" t="n">
        <f aca="false">POISSON($A110,Model!$G$54,TRUE())</f>
        <v>1</v>
      </c>
      <c r="P110" s="43" t="n">
        <f aca="false">POISSON($A110,Model!$G$55,TRUE())</f>
        <v>1</v>
      </c>
    </row>
    <row r="111" customFormat="false" ht="15" hidden="false" customHeight="false" outlineLevel="0" collapsed="false">
      <c r="A111" s="7" t="n">
        <v>107</v>
      </c>
      <c r="B111" s="43" t="n">
        <f aca="false">POISSON($A111,Model!B$16,TRUE())</f>
        <v>1</v>
      </c>
      <c r="C111" s="43" t="n">
        <f aca="false">POISSON($A111,Model!C$16,TRUE())</f>
        <v>1</v>
      </c>
      <c r="D111" s="43" t="n">
        <f aca="false">POISSON($A111,Model!D$16,TRUE())</f>
        <v>1</v>
      </c>
      <c r="E111" s="43" t="n">
        <f aca="false">POISSON($A111,Model!E$16,TRUE())</f>
        <v>1</v>
      </c>
      <c r="H111" s="43" t="n">
        <f aca="false">POISSON($A111,Model!$C$46,TRUE())</f>
        <v>1</v>
      </c>
      <c r="I111" s="43" t="n">
        <f aca="false">POISSON($A111,Model!$C$47,TRUE())</f>
        <v>1</v>
      </c>
      <c r="J111" s="43" t="n">
        <f aca="false">POISSON($A111,Model!$C$48,TRUE())</f>
        <v>1</v>
      </c>
      <c r="K111" s="43" t="n">
        <f aca="false">POISSON($A111,Model!$C$53,TRUE())</f>
        <v>1</v>
      </c>
      <c r="L111" s="43" t="n">
        <f aca="false">POISSON($A111,Model!$C$54,TRUE())</f>
        <v>1</v>
      </c>
      <c r="M111" s="43" t="n">
        <f aca="false">POISSON($A111,Model!$C$55,TRUE())</f>
        <v>1</v>
      </c>
      <c r="N111" s="43" t="n">
        <f aca="false">POISSON($A111,Model!$G$53,TRUE())</f>
        <v>1</v>
      </c>
      <c r="O111" s="43" t="n">
        <f aca="false">POISSON($A111,Model!$G$54,TRUE())</f>
        <v>1</v>
      </c>
      <c r="P111" s="43" t="n">
        <f aca="false">POISSON($A111,Model!$G$55,TRUE())</f>
        <v>1</v>
      </c>
    </row>
    <row r="112" customFormat="false" ht="15" hidden="false" customHeight="false" outlineLevel="0" collapsed="false">
      <c r="A112" s="7" t="n">
        <v>108</v>
      </c>
      <c r="B112" s="43" t="n">
        <f aca="false">POISSON($A112,Model!B$16,TRUE())</f>
        <v>1</v>
      </c>
      <c r="C112" s="43" t="n">
        <f aca="false">POISSON($A112,Model!C$16,TRUE())</f>
        <v>1</v>
      </c>
      <c r="D112" s="43" t="n">
        <f aca="false">POISSON($A112,Model!D$16,TRUE())</f>
        <v>1</v>
      </c>
      <c r="E112" s="43" t="n">
        <f aca="false">POISSON($A112,Model!E$16,TRUE())</f>
        <v>1</v>
      </c>
      <c r="H112" s="43" t="n">
        <f aca="false">POISSON($A112,Model!$C$46,TRUE())</f>
        <v>1</v>
      </c>
      <c r="I112" s="43" t="n">
        <f aca="false">POISSON($A112,Model!$C$47,TRUE())</f>
        <v>1</v>
      </c>
      <c r="J112" s="43" t="n">
        <f aca="false">POISSON($A112,Model!$C$48,TRUE())</f>
        <v>1</v>
      </c>
      <c r="K112" s="43" t="n">
        <f aca="false">POISSON($A112,Model!$C$53,TRUE())</f>
        <v>1</v>
      </c>
      <c r="L112" s="43" t="n">
        <f aca="false">POISSON($A112,Model!$C$54,TRUE())</f>
        <v>1</v>
      </c>
      <c r="M112" s="43" t="n">
        <f aca="false">POISSON($A112,Model!$C$55,TRUE())</f>
        <v>1</v>
      </c>
      <c r="N112" s="43" t="n">
        <f aca="false">POISSON($A112,Model!$G$53,TRUE())</f>
        <v>1</v>
      </c>
      <c r="O112" s="43" t="n">
        <f aca="false">POISSON($A112,Model!$G$54,TRUE())</f>
        <v>1</v>
      </c>
      <c r="P112" s="43" t="n">
        <f aca="false">POISSON($A112,Model!$G$55,TRUE())</f>
        <v>1</v>
      </c>
    </row>
    <row r="113" customFormat="false" ht="15" hidden="false" customHeight="false" outlineLevel="0" collapsed="false">
      <c r="A113" s="7" t="n">
        <v>109</v>
      </c>
      <c r="B113" s="43" t="n">
        <f aca="false">POISSON($A113,Model!B$16,TRUE())</f>
        <v>1</v>
      </c>
      <c r="C113" s="43" t="n">
        <f aca="false">POISSON($A113,Model!C$16,TRUE())</f>
        <v>1</v>
      </c>
      <c r="D113" s="43" t="n">
        <f aca="false">POISSON($A113,Model!D$16,TRUE())</f>
        <v>1</v>
      </c>
      <c r="E113" s="43" t="n">
        <f aca="false">POISSON($A113,Model!E$16,TRUE())</f>
        <v>1</v>
      </c>
      <c r="H113" s="43" t="n">
        <f aca="false">POISSON($A113,Model!$C$46,TRUE())</f>
        <v>1</v>
      </c>
      <c r="I113" s="43" t="n">
        <f aca="false">POISSON($A113,Model!$C$47,TRUE())</f>
        <v>1</v>
      </c>
      <c r="J113" s="43" t="n">
        <f aca="false">POISSON($A113,Model!$C$48,TRUE())</f>
        <v>1</v>
      </c>
      <c r="K113" s="43" t="n">
        <f aca="false">POISSON($A113,Model!$C$53,TRUE())</f>
        <v>1</v>
      </c>
      <c r="L113" s="43" t="n">
        <f aca="false">POISSON($A113,Model!$C$54,TRUE())</f>
        <v>1</v>
      </c>
      <c r="M113" s="43" t="n">
        <f aca="false">POISSON($A113,Model!$C$55,TRUE())</f>
        <v>1</v>
      </c>
      <c r="N113" s="43" t="n">
        <f aca="false">POISSON($A113,Model!$G$53,TRUE())</f>
        <v>1</v>
      </c>
      <c r="O113" s="43" t="n">
        <f aca="false">POISSON($A113,Model!$G$54,TRUE())</f>
        <v>1</v>
      </c>
      <c r="P113" s="43" t="n">
        <f aca="false">POISSON($A113,Model!$G$55,TRUE())</f>
        <v>1</v>
      </c>
    </row>
    <row r="114" customFormat="false" ht="15" hidden="false" customHeight="false" outlineLevel="0" collapsed="false">
      <c r="A114" s="7" t="n">
        <v>110</v>
      </c>
      <c r="B114" s="43" t="n">
        <f aca="false">POISSON($A114,Model!B$16,TRUE())</f>
        <v>1</v>
      </c>
      <c r="C114" s="43" t="n">
        <f aca="false">POISSON($A114,Model!C$16,TRUE())</f>
        <v>1</v>
      </c>
      <c r="D114" s="43" t="n">
        <f aca="false">POISSON($A114,Model!D$16,TRUE())</f>
        <v>1</v>
      </c>
      <c r="E114" s="43" t="n">
        <f aca="false">POISSON($A114,Model!E$16,TRUE())</f>
        <v>1</v>
      </c>
      <c r="H114" s="43" t="n">
        <f aca="false">POISSON($A114,Model!$C$46,TRUE())</f>
        <v>1</v>
      </c>
      <c r="I114" s="43" t="n">
        <f aca="false">POISSON($A114,Model!$C$47,TRUE())</f>
        <v>1</v>
      </c>
      <c r="J114" s="43" t="n">
        <f aca="false">POISSON($A114,Model!$C$48,TRUE())</f>
        <v>1</v>
      </c>
      <c r="K114" s="43" t="n">
        <f aca="false">POISSON($A114,Model!$C$53,TRUE())</f>
        <v>1</v>
      </c>
      <c r="L114" s="43" t="n">
        <f aca="false">POISSON($A114,Model!$C$54,TRUE())</f>
        <v>1</v>
      </c>
      <c r="M114" s="43" t="n">
        <f aca="false">POISSON($A114,Model!$C$55,TRUE())</f>
        <v>1</v>
      </c>
      <c r="N114" s="43" t="n">
        <f aca="false">POISSON($A114,Model!$G$53,TRUE())</f>
        <v>1</v>
      </c>
      <c r="O114" s="43" t="n">
        <f aca="false">POISSON($A114,Model!$G$54,TRUE())</f>
        <v>1</v>
      </c>
      <c r="P114" s="43" t="n">
        <f aca="false">POISSON($A114,Model!$G$55,TRUE())</f>
        <v>1</v>
      </c>
    </row>
    <row r="115" customFormat="false" ht="15" hidden="false" customHeight="false" outlineLevel="0" collapsed="false">
      <c r="A115" s="7" t="n">
        <v>111</v>
      </c>
      <c r="B115" s="43" t="n">
        <f aca="false">POISSON($A115,Model!B$16,TRUE())</f>
        <v>1</v>
      </c>
      <c r="C115" s="43" t="n">
        <f aca="false">POISSON($A115,Model!C$16,TRUE())</f>
        <v>1</v>
      </c>
      <c r="D115" s="43" t="n">
        <f aca="false">POISSON($A115,Model!D$16,TRUE())</f>
        <v>1</v>
      </c>
      <c r="E115" s="43" t="n">
        <f aca="false">POISSON($A115,Model!E$16,TRUE())</f>
        <v>1</v>
      </c>
      <c r="H115" s="43" t="n">
        <f aca="false">POISSON($A115,Model!$C$46,TRUE())</f>
        <v>1</v>
      </c>
      <c r="I115" s="43" t="n">
        <f aca="false">POISSON($A115,Model!$C$47,TRUE())</f>
        <v>1</v>
      </c>
      <c r="J115" s="43" t="n">
        <f aca="false">POISSON($A115,Model!$C$48,TRUE())</f>
        <v>1</v>
      </c>
      <c r="K115" s="43" t="n">
        <f aca="false">POISSON($A115,Model!$C$53,TRUE())</f>
        <v>1</v>
      </c>
      <c r="L115" s="43" t="n">
        <f aca="false">POISSON($A115,Model!$C$54,TRUE())</f>
        <v>1</v>
      </c>
      <c r="M115" s="43" t="n">
        <f aca="false">POISSON($A115,Model!$C$55,TRUE())</f>
        <v>1</v>
      </c>
      <c r="N115" s="43" t="n">
        <f aca="false">POISSON($A115,Model!$G$53,TRUE())</f>
        <v>1</v>
      </c>
      <c r="O115" s="43" t="n">
        <f aca="false">POISSON($A115,Model!$G$54,TRUE())</f>
        <v>1</v>
      </c>
      <c r="P115" s="43" t="n">
        <f aca="false">POISSON($A115,Model!$G$55,TRUE())</f>
        <v>1</v>
      </c>
    </row>
    <row r="116" customFormat="false" ht="15" hidden="false" customHeight="false" outlineLevel="0" collapsed="false">
      <c r="A116" s="7" t="n">
        <v>112</v>
      </c>
      <c r="B116" s="43" t="n">
        <f aca="false">POISSON($A116,Model!B$16,TRUE())</f>
        <v>1</v>
      </c>
      <c r="C116" s="43" t="n">
        <f aca="false">POISSON($A116,Model!C$16,TRUE())</f>
        <v>1</v>
      </c>
      <c r="D116" s="43" t="n">
        <f aca="false">POISSON($A116,Model!D$16,TRUE())</f>
        <v>1</v>
      </c>
      <c r="E116" s="43" t="n">
        <f aca="false">POISSON($A116,Model!E$16,TRUE())</f>
        <v>1</v>
      </c>
      <c r="H116" s="43" t="n">
        <f aca="false">POISSON($A116,Model!$C$46,TRUE())</f>
        <v>1</v>
      </c>
      <c r="I116" s="43" t="n">
        <f aca="false">POISSON($A116,Model!$C$47,TRUE())</f>
        <v>1</v>
      </c>
      <c r="J116" s="43" t="n">
        <f aca="false">POISSON($A116,Model!$C$48,TRUE())</f>
        <v>1</v>
      </c>
      <c r="K116" s="43" t="n">
        <f aca="false">POISSON($A116,Model!$C$53,TRUE())</f>
        <v>1</v>
      </c>
      <c r="L116" s="43" t="n">
        <f aca="false">POISSON($A116,Model!$C$54,TRUE())</f>
        <v>1</v>
      </c>
      <c r="M116" s="43" t="n">
        <f aca="false">POISSON($A116,Model!$C$55,TRUE())</f>
        <v>1</v>
      </c>
      <c r="N116" s="43" t="n">
        <f aca="false">POISSON($A116,Model!$G$53,TRUE())</f>
        <v>1</v>
      </c>
      <c r="O116" s="43" t="n">
        <f aca="false">POISSON($A116,Model!$G$54,TRUE())</f>
        <v>1</v>
      </c>
      <c r="P116" s="43" t="n">
        <f aca="false">POISSON($A116,Model!$G$55,TRUE())</f>
        <v>1</v>
      </c>
    </row>
    <row r="117" customFormat="false" ht="15" hidden="false" customHeight="false" outlineLevel="0" collapsed="false">
      <c r="A117" s="7" t="n">
        <v>113</v>
      </c>
      <c r="B117" s="43" t="n">
        <f aca="false">POISSON($A117,Model!B$16,TRUE())</f>
        <v>1</v>
      </c>
      <c r="C117" s="43" t="n">
        <f aca="false">POISSON($A117,Model!C$16,TRUE())</f>
        <v>1</v>
      </c>
      <c r="D117" s="43" t="n">
        <f aca="false">POISSON($A117,Model!D$16,TRUE())</f>
        <v>1</v>
      </c>
      <c r="E117" s="43" t="n">
        <f aca="false">POISSON($A117,Model!E$16,TRUE())</f>
        <v>1</v>
      </c>
      <c r="H117" s="43" t="n">
        <f aca="false">POISSON($A117,Model!$C$46,TRUE())</f>
        <v>1</v>
      </c>
      <c r="I117" s="43" t="n">
        <f aca="false">POISSON($A117,Model!$C$47,TRUE())</f>
        <v>1</v>
      </c>
      <c r="J117" s="43" t="n">
        <f aca="false">POISSON($A117,Model!$C$48,TRUE())</f>
        <v>1</v>
      </c>
      <c r="K117" s="43" t="n">
        <f aca="false">POISSON($A117,Model!$C$53,TRUE())</f>
        <v>1</v>
      </c>
      <c r="L117" s="43" t="n">
        <f aca="false">POISSON($A117,Model!$C$54,TRUE())</f>
        <v>1</v>
      </c>
      <c r="M117" s="43" t="n">
        <f aca="false">POISSON($A117,Model!$C$55,TRUE())</f>
        <v>1</v>
      </c>
      <c r="N117" s="43" t="n">
        <f aca="false">POISSON($A117,Model!$G$53,TRUE())</f>
        <v>1</v>
      </c>
      <c r="O117" s="43" t="n">
        <f aca="false">POISSON($A117,Model!$G$54,TRUE())</f>
        <v>1</v>
      </c>
      <c r="P117" s="43" t="n">
        <f aca="false">POISSON($A117,Model!$G$55,TRUE())</f>
        <v>1</v>
      </c>
    </row>
    <row r="118" customFormat="false" ht="15" hidden="false" customHeight="false" outlineLevel="0" collapsed="false">
      <c r="A118" s="7" t="n">
        <v>114</v>
      </c>
      <c r="B118" s="43" t="n">
        <f aca="false">POISSON($A118,Model!B$16,TRUE())</f>
        <v>1</v>
      </c>
      <c r="C118" s="43" t="n">
        <f aca="false">POISSON($A118,Model!C$16,TRUE())</f>
        <v>1</v>
      </c>
      <c r="D118" s="43" t="n">
        <f aca="false">POISSON($A118,Model!D$16,TRUE())</f>
        <v>1</v>
      </c>
      <c r="E118" s="43" t="n">
        <f aca="false">POISSON($A118,Model!E$16,TRUE())</f>
        <v>1</v>
      </c>
      <c r="H118" s="43" t="n">
        <f aca="false">POISSON($A118,Model!$C$46,TRUE())</f>
        <v>1</v>
      </c>
      <c r="I118" s="43" t="n">
        <f aca="false">POISSON($A118,Model!$C$47,TRUE())</f>
        <v>1</v>
      </c>
      <c r="J118" s="43" t="n">
        <f aca="false">POISSON($A118,Model!$C$48,TRUE())</f>
        <v>1</v>
      </c>
      <c r="K118" s="43" t="n">
        <f aca="false">POISSON($A118,Model!$C$53,TRUE())</f>
        <v>1</v>
      </c>
      <c r="L118" s="43" t="n">
        <f aca="false">POISSON($A118,Model!$C$54,TRUE())</f>
        <v>1</v>
      </c>
      <c r="M118" s="43" t="n">
        <f aca="false">POISSON($A118,Model!$C$55,TRUE())</f>
        <v>1</v>
      </c>
      <c r="N118" s="43" t="n">
        <f aca="false">POISSON($A118,Model!$G$53,TRUE())</f>
        <v>1</v>
      </c>
      <c r="O118" s="43" t="n">
        <f aca="false">POISSON($A118,Model!$G$54,TRUE())</f>
        <v>1</v>
      </c>
      <c r="P118" s="43" t="n">
        <f aca="false">POISSON($A118,Model!$G$55,TRUE())</f>
        <v>1</v>
      </c>
    </row>
    <row r="119" customFormat="false" ht="15" hidden="false" customHeight="false" outlineLevel="0" collapsed="false">
      <c r="A119" s="7" t="n">
        <v>115</v>
      </c>
      <c r="B119" s="43" t="n">
        <f aca="false">POISSON($A119,Model!B$16,TRUE())</f>
        <v>1</v>
      </c>
      <c r="C119" s="43" t="n">
        <f aca="false">POISSON($A119,Model!C$16,TRUE())</f>
        <v>1</v>
      </c>
      <c r="D119" s="43" t="n">
        <f aca="false">POISSON($A119,Model!D$16,TRUE())</f>
        <v>1</v>
      </c>
      <c r="E119" s="43" t="n">
        <f aca="false">POISSON($A119,Model!E$16,TRUE())</f>
        <v>1</v>
      </c>
      <c r="H119" s="43" t="n">
        <f aca="false">POISSON($A119,Model!$C$46,TRUE())</f>
        <v>1</v>
      </c>
      <c r="I119" s="43" t="n">
        <f aca="false">POISSON($A119,Model!$C$47,TRUE())</f>
        <v>1</v>
      </c>
      <c r="J119" s="43" t="n">
        <f aca="false">POISSON($A119,Model!$C$48,TRUE())</f>
        <v>1</v>
      </c>
      <c r="K119" s="43" t="n">
        <f aca="false">POISSON($A119,Model!$C$53,TRUE())</f>
        <v>1</v>
      </c>
      <c r="L119" s="43" t="n">
        <f aca="false">POISSON($A119,Model!$C$54,TRUE())</f>
        <v>1</v>
      </c>
      <c r="M119" s="43" t="n">
        <f aca="false">POISSON($A119,Model!$C$55,TRUE())</f>
        <v>1</v>
      </c>
      <c r="N119" s="43" t="n">
        <f aca="false">POISSON($A119,Model!$G$53,TRUE())</f>
        <v>1</v>
      </c>
      <c r="O119" s="43" t="n">
        <f aca="false">POISSON($A119,Model!$G$54,TRUE())</f>
        <v>1</v>
      </c>
      <c r="P119" s="43" t="n">
        <f aca="false">POISSON($A119,Model!$G$55,TRUE())</f>
        <v>1</v>
      </c>
    </row>
    <row r="120" customFormat="false" ht="15" hidden="false" customHeight="false" outlineLevel="0" collapsed="false">
      <c r="A120" s="7" t="n">
        <v>116</v>
      </c>
      <c r="B120" s="43" t="n">
        <f aca="false">POISSON($A120,Model!B$16,TRUE())</f>
        <v>1</v>
      </c>
      <c r="C120" s="43" t="n">
        <f aca="false">POISSON($A120,Model!C$16,TRUE())</f>
        <v>1</v>
      </c>
      <c r="D120" s="43" t="n">
        <f aca="false">POISSON($A120,Model!D$16,TRUE())</f>
        <v>1</v>
      </c>
      <c r="E120" s="43" t="n">
        <f aca="false">POISSON($A120,Model!E$16,TRUE())</f>
        <v>1</v>
      </c>
      <c r="H120" s="43" t="n">
        <f aca="false">POISSON($A120,Model!$C$46,TRUE())</f>
        <v>1</v>
      </c>
      <c r="I120" s="43" t="n">
        <f aca="false">POISSON($A120,Model!$C$47,TRUE())</f>
        <v>1</v>
      </c>
      <c r="J120" s="43" t="n">
        <f aca="false">POISSON($A120,Model!$C$48,TRUE())</f>
        <v>1</v>
      </c>
      <c r="K120" s="43" t="n">
        <f aca="false">POISSON($A120,Model!$C$53,TRUE())</f>
        <v>1</v>
      </c>
      <c r="L120" s="43" t="n">
        <f aca="false">POISSON($A120,Model!$C$54,TRUE())</f>
        <v>1</v>
      </c>
      <c r="M120" s="43" t="n">
        <f aca="false">POISSON($A120,Model!$C$55,TRUE())</f>
        <v>1</v>
      </c>
      <c r="N120" s="43" t="n">
        <f aca="false">POISSON($A120,Model!$G$53,TRUE())</f>
        <v>1</v>
      </c>
      <c r="O120" s="43" t="n">
        <f aca="false">POISSON($A120,Model!$G$54,TRUE())</f>
        <v>1</v>
      </c>
      <c r="P120" s="43" t="n">
        <f aca="false">POISSON($A120,Model!$G$55,TRUE())</f>
        <v>1</v>
      </c>
    </row>
    <row r="121" customFormat="false" ht="15" hidden="false" customHeight="false" outlineLevel="0" collapsed="false">
      <c r="A121" s="7" t="n">
        <v>117</v>
      </c>
      <c r="B121" s="43" t="n">
        <f aca="false">POISSON($A121,Model!B$16,TRUE())</f>
        <v>1</v>
      </c>
      <c r="C121" s="43" t="n">
        <f aca="false">POISSON($A121,Model!C$16,TRUE())</f>
        <v>1</v>
      </c>
      <c r="D121" s="43" t="n">
        <f aca="false">POISSON($A121,Model!D$16,TRUE())</f>
        <v>1</v>
      </c>
      <c r="E121" s="43" t="n">
        <f aca="false">POISSON($A121,Model!E$16,TRUE())</f>
        <v>1</v>
      </c>
      <c r="H121" s="43" t="n">
        <f aca="false">POISSON($A121,Model!$C$46,TRUE())</f>
        <v>1</v>
      </c>
      <c r="I121" s="43" t="n">
        <f aca="false">POISSON($A121,Model!$C$47,TRUE())</f>
        <v>1</v>
      </c>
      <c r="J121" s="43" t="n">
        <f aca="false">POISSON($A121,Model!$C$48,TRUE())</f>
        <v>1</v>
      </c>
      <c r="K121" s="43" t="n">
        <f aca="false">POISSON($A121,Model!$C$53,TRUE())</f>
        <v>1</v>
      </c>
      <c r="L121" s="43" t="n">
        <f aca="false">POISSON($A121,Model!$C$54,TRUE())</f>
        <v>1</v>
      </c>
      <c r="M121" s="43" t="n">
        <f aca="false">POISSON($A121,Model!$C$55,TRUE())</f>
        <v>1</v>
      </c>
      <c r="N121" s="43" t="n">
        <f aca="false">POISSON($A121,Model!$G$53,TRUE())</f>
        <v>1</v>
      </c>
      <c r="O121" s="43" t="n">
        <f aca="false">POISSON($A121,Model!$G$54,TRUE())</f>
        <v>1</v>
      </c>
      <c r="P121" s="43" t="n">
        <f aca="false">POISSON($A121,Model!$G$55,TRUE())</f>
        <v>1</v>
      </c>
    </row>
    <row r="122" customFormat="false" ht="15" hidden="false" customHeight="false" outlineLevel="0" collapsed="false">
      <c r="A122" s="7" t="n">
        <v>118</v>
      </c>
      <c r="B122" s="43" t="n">
        <f aca="false">POISSON($A122,Model!B$16,TRUE())</f>
        <v>1</v>
      </c>
      <c r="C122" s="43" t="n">
        <f aca="false">POISSON($A122,Model!C$16,TRUE())</f>
        <v>1</v>
      </c>
      <c r="D122" s="43" t="n">
        <f aca="false">POISSON($A122,Model!D$16,TRUE())</f>
        <v>1</v>
      </c>
      <c r="E122" s="43" t="n">
        <f aca="false">POISSON($A122,Model!E$16,TRUE())</f>
        <v>1</v>
      </c>
      <c r="H122" s="43" t="n">
        <f aca="false">POISSON($A122,Model!$C$46,TRUE())</f>
        <v>1</v>
      </c>
      <c r="I122" s="43" t="n">
        <f aca="false">POISSON($A122,Model!$C$47,TRUE())</f>
        <v>1</v>
      </c>
      <c r="J122" s="43" t="n">
        <f aca="false">POISSON($A122,Model!$C$48,TRUE())</f>
        <v>1</v>
      </c>
      <c r="K122" s="43" t="n">
        <f aca="false">POISSON($A122,Model!$C$53,TRUE())</f>
        <v>1</v>
      </c>
      <c r="L122" s="43" t="n">
        <f aca="false">POISSON($A122,Model!$C$54,TRUE())</f>
        <v>1</v>
      </c>
      <c r="M122" s="43" t="n">
        <f aca="false">POISSON($A122,Model!$C$55,TRUE())</f>
        <v>1</v>
      </c>
      <c r="N122" s="43" t="n">
        <f aca="false">POISSON($A122,Model!$G$53,TRUE())</f>
        <v>1</v>
      </c>
      <c r="O122" s="43" t="n">
        <f aca="false">POISSON($A122,Model!$G$54,TRUE())</f>
        <v>1</v>
      </c>
      <c r="P122" s="43" t="n">
        <f aca="false">POISSON($A122,Model!$G$55,TRUE())</f>
        <v>1</v>
      </c>
    </row>
    <row r="123" customFormat="false" ht="15" hidden="false" customHeight="false" outlineLevel="0" collapsed="false">
      <c r="A123" s="7" t="n">
        <v>119</v>
      </c>
      <c r="B123" s="43" t="n">
        <f aca="false">POISSON($A123,Model!B$16,TRUE())</f>
        <v>1</v>
      </c>
      <c r="C123" s="43" t="n">
        <f aca="false">POISSON($A123,Model!C$16,TRUE())</f>
        <v>1</v>
      </c>
      <c r="D123" s="43" t="n">
        <f aca="false">POISSON($A123,Model!D$16,TRUE())</f>
        <v>1</v>
      </c>
      <c r="E123" s="43" t="n">
        <f aca="false">POISSON($A123,Model!E$16,TRUE())</f>
        <v>1</v>
      </c>
      <c r="H123" s="43" t="n">
        <f aca="false">POISSON($A123,Model!$C$46,TRUE())</f>
        <v>1</v>
      </c>
      <c r="I123" s="43" t="n">
        <f aca="false">POISSON($A123,Model!$C$47,TRUE())</f>
        <v>1</v>
      </c>
      <c r="J123" s="43" t="n">
        <f aca="false">POISSON($A123,Model!$C$48,TRUE())</f>
        <v>1</v>
      </c>
      <c r="K123" s="43" t="n">
        <f aca="false">POISSON($A123,Model!$C$53,TRUE())</f>
        <v>1</v>
      </c>
      <c r="L123" s="43" t="n">
        <f aca="false">POISSON($A123,Model!$C$54,TRUE())</f>
        <v>1</v>
      </c>
      <c r="M123" s="43" t="n">
        <f aca="false">POISSON($A123,Model!$C$55,TRUE())</f>
        <v>1</v>
      </c>
      <c r="N123" s="43" t="n">
        <f aca="false">POISSON($A123,Model!$G$53,TRUE())</f>
        <v>1</v>
      </c>
      <c r="O123" s="43" t="n">
        <f aca="false">POISSON($A123,Model!$G$54,TRUE())</f>
        <v>1</v>
      </c>
      <c r="P123" s="43" t="n">
        <f aca="false">POISSON($A123,Model!$G$55,TRUE())</f>
        <v>1</v>
      </c>
    </row>
    <row r="124" customFormat="false" ht="15" hidden="false" customHeight="false" outlineLevel="0" collapsed="false">
      <c r="A124" s="7" t="n">
        <v>120</v>
      </c>
      <c r="B124" s="43" t="n">
        <f aca="false">POISSON($A124,Model!B$16,TRUE())</f>
        <v>1</v>
      </c>
      <c r="C124" s="43" t="n">
        <f aca="false">POISSON($A124,Model!C$16,TRUE())</f>
        <v>1</v>
      </c>
      <c r="D124" s="43" t="n">
        <f aca="false">POISSON($A124,Model!D$16,TRUE())</f>
        <v>1</v>
      </c>
      <c r="E124" s="43" t="n">
        <f aca="false">POISSON($A124,Model!E$16,TRUE())</f>
        <v>1</v>
      </c>
      <c r="H124" s="43" t="n">
        <f aca="false">POISSON($A124,Model!$C$46,TRUE())</f>
        <v>1</v>
      </c>
      <c r="I124" s="43" t="n">
        <f aca="false">POISSON($A124,Model!$C$47,TRUE())</f>
        <v>1</v>
      </c>
      <c r="J124" s="43" t="n">
        <f aca="false">POISSON($A124,Model!$C$48,TRUE())</f>
        <v>1</v>
      </c>
      <c r="K124" s="43" t="n">
        <f aca="false">POISSON($A124,Model!$C$53,TRUE())</f>
        <v>1</v>
      </c>
      <c r="L124" s="43" t="n">
        <f aca="false">POISSON($A124,Model!$C$54,TRUE())</f>
        <v>1</v>
      </c>
      <c r="M124" s="43" t="n">
        <f aca="false">POISSON($A124,Model!$C$55,TRUE())</f>
        <v>1</v>
      </c>
      <c r="N124" s="43" t="n">
        <f aca="false">POISSON($A124,Model!$G$53,TRUE())</f>
        <v>1</v>
      </c>
      <c r="O124" s="43" t="n">
        <f aca="false">POISSON($A124,Model!$G$54,TRUE())</f>
        <v>1</v>
      </c>
      <c r="P124" s="43" t="n">
        <f aca="false">POISSON($A124,Model!$G$55,TRUE())</f>
        <v>1</v>
      </c>
    </row>
    <row r="125" customFormat="false" ht="15" hidden="false" customHeight="false" outlineLevel="0" collapsed="false">
      <c r="A125" s="7" t="n">
        <v>121</v>
      </c>
      <c r="B125" s="43" t="n">
        <f aca="false">POISSON($A125,Model!B$16,TRUE())</f>
        <v>1</v>
      </c>
      <c r="C125" s="43" t="n">
        <f aca="false">POISSON($A125,Model!C$16,TRUE())</f>
        <v>1</v>
      </c>
      <c r="D125" s="43" t="n">
        <f aca="false">POISSON($A125,Model!D$16,TRUE())</f>
        <v>1</v>
      </c>
      <c r="E125" s="43" t="n">
        <f aca="false">POISSON($A125,Model!E$16,TRUE())</f>
        <v>1</v>
      </c>
      <c r="H125" s="43" t="n">
        <f aca="false">POISSON($A125,Model!$C$46,TRUE())</f>
        <v>1</v>
      </c>
      <c r="I125" s="43" t="n">
        <f aca="false">POISSON($A125,Model!$C$47,TRUE())</f>
        <v>1</v>
      </c>
      <c r="J125" s="43" t="n">
        <f aca="false">POISSON($A125,Model!$C$48,TRUE())</f>
        <v>1</v>
      </c>
      <c r="K125" s="43" t="n">
        <f aca="false">POISSON($A125,Model!$C$53,TRUE())</f>
        <v>1</v>
      </c>
      <c r="L125" s="43" t="n">
        <f aca="false">POISSON($A125,Model!$C$54,TRUE())</f>
        <v>1</v>
      </c>
      <c r="M125" s="43" t="n">
        <f aca="false">POISSON($A125,Model!$C$55,TRUE())</f>
        <v>1</v>
      </c>
      <c r="N125" s="43" t="n">
        <f aca="false">POISSON($A125,Model!$G$53,TRUE())</f>
        <v>1</v>
      </c>
      <c r="O125" s="43" t="n">
        <f aca="false">POISSON($A125,Model!$G$54,TRUE())</f>
        <v>1</v>
      </c>
      <c r="P125" s="43" t="n">
        <f aca="false">POISSON($A125,Model!$G$55,TRUE())</f>
        <v>1</v>
      </c>
    </row>
    <row r="126" customFormat="false" ht="15" hidden="false" customHeight="false" outlineLevel="0" collapsed="false">
      <c r="A126" s="7" t="n">
        <v>122</v>
      </c>
      <c r="B126" s="43" t="n">
        <f aca="false">POISSON($A126,Model!B$16,TRUE())</f>
        <v>1</v>
      </c>
      <c r="C126" s="43" t="n">
        <f aca="false">POISSON($A126,Model!C$16,TRUE())</f>
        <v>1</v>
      </c>
      <c r="D126" s="43" t="n">
        <f aca="false">POISSON($A126,Model!D$16,TRUE())</f>
        <v>1</v>
      </c>
      <c r="E126" s="43" t="n">
        <f aca="false">POISSON($A126,Model!E$16,TRUE())</f>
        <v>1</v>
      </c>
      <c r="H126" s="43" t="n">
        <f aca="false">POISSON($A126,Model!$C$46,TRUE())</f>
        <v>1</v>
      </c>
      <c r="I126" s="43" t="n">
        <f aca="false">POISSON($A126,Model!$C$47,TRUE())</f>
        <v>1</v>
      </c>
      <c r="J126" s="43" t="n">
        <f aca="false">POISSON($A126,Model!$C$48,TRUE())</f>
        <v>1</v>
      </c>
      <c r="K126" s="43" t="n">
        <f aca="false">POISSON($A126,Model!$C$53,TRUE())</f>
        <v>1</v>
      </c>
      <c r="L126" s="43" t="n">
        <f aca="false">POISSON($A126,Model!$C$54,TRUE())</f>
        <v>1</v>
      </c>
      <c r="M126" s="43" t="n">
        <f aca="false">POISSON($A126,Model!$C$55,TRUE())</f>
        <v>1</v>
      </c>
      <c r="N126" s="43" t="n">
        <f aca="false">POISSON($A126,Model!$G$53,TRUE())</f>
        <v>1</v>
      </c>
      <c r="O126" s="43" t="n">
        <f aca="false">POISSON($A126,Model!$G$54,TRUE())</f>
        <v>1</v>
      </c>
      <c r="P126" s="43" t="n">
        <f aca="false">POISSON($A126,Model!$G$55,TRUE())</f>
        <v>1</v>
      </c>
    </row>
    <row r="127" customFormat="false" ht="15" hidden="false" customHeight="false" outlineLevel="0" collapsed="false">
      <c r="A127" s="7" t="n">
        <v>123</v>
      </c>
      <c r="B127" s="43" t="n">
        <f aca="false">POISSON($A127,Model!B$16,TRUE())</f>
        <v>1</v>
      </c>
      <c r="C127" s="43" t="n">
        <f aca="false">POISSON($A127,Model!C$16,TRUE())</f>
        <v>1</v>
      </c>
      <c r="D127" s="43" t="n">
        <f aca="false">POISSON($A127,Model!D$16,TRUE())</f>
        <v>1</v>
      </c>
      <c r="E127" s="43" t="n">
        <f aca="false">POISSON($A127,Model!E$16,TRUE())</f>
        <v>1</v>
      </c>
      <c r="H127" s="43" t="n">
        <f aca="false">POISSON($A127,Model!$C$46,TRUE())</f>
        <v>1</v>
      </c>
      <c r="I127" s="43" t="n">
        <f aca="false">POISSON($A127,Model!$C$47,TRUE())</f>
        <v>1</v>
      </c>
      <c r="J127" s="43" t="n">
        <f aca="false">POISSON($A127,Model!$C$48,TRUE())</f>
        <v>1</v>
      </c>
      <c r="K127" s="43" t="n">
        <f aca="false">POISSON($A127,Model!$C$53,TRUE())</f>
        <v>1</v>
      </c>
      <c r="L127" s="43" t="n">
        <f aca="false">POISSON($A127,Model!$C$54,TRUE())</f>
        <v>1</v>
      </c>
      <c r="M127" s="43" t="n">
        <f aca="false">POISSON($A127,Model!$C$55,TRUE())</f>
        <v>1</v>
      </c>
      <c r="N127" s="43" t="n">
        <f aca="false">POISSON($A127,Model!$G$53,TRUE())</f>
        <v>1</v>
      </c>
      <c r="O127" s="43" t="n">
        <f aca="false">POISSON($A127,Model!$G$54,TRUE())</f>
        <v>1</v>
      </c>
      <c r="P127" s="43" t="n">
        <f aca="false">POISSON($A127,Model!$G$55,TRUE())</f>
        <v>1</v>
      </c>
    </row>
    <row r="128" customFormat="false" ht="15" hidden="false" customHeight="false" outlineLevel="0" collapsed="false">
      <c r="A128" s="7" t="n">
        <v>124</v>
      </c>
      <c r="B128" s="43" t="n">
        <f aca="false">POISSON($A128,Model!B$16,TRUE())</f>
        <v>1</v>
      </c>
      <c r="C128" s="43" t="n">
        <f aca="false">POISSON($A128,Model!C$16,TRUE())</f>
        <v>1</v>
      </c>
      <c r="D128" s="43" t="n">
        <f aca="false">POISSON($A128,Model!D$16,TRUE())</f>
        <v>1</v>
      </c>
      <c r="E128" s="43" t="n">
        <f aca="false">POISSON($A128,Model!E$16,TRUE())</f>
        <v>1</v>
      </c>
      <c r="H128" s="43" t="n">
        <f aca="false">POISSON($A128,Model!$C$46,TRUE())</f>
        <v>1</v>
      </c>
      <c r="I128" s="43" t="n">
        <f aca="false">POISSON($A128,Model!$C$47,TRUE())</f>
        <v>1</v>
      </c>
      <c r="J128" s="43" t="n">
        <f aca="false">POISSON($A128,Model!$C$48,TRUE())</f>
        <v>1</v>
      </c>
      <c r="K128" s="43" t="n">
        <f aca="false">POISSON($A128,Model!$C$53,TRUE())</f>
        <v>1</v>
      </c>
      <c r="L128" s="43" t="n">
        <f aca="false">POISSON($A128,Model!$C$54,TRUE())</f>
        <v>1</v>
      </c>
      <c r="M128" s="43" t="n">
        <f aca="false">POISSON($A128,Model!$C$55,TRUE())</f>
        <v>1</v>
      </c>
      <c r="N128" s="43" t="n">
        <f aca="false">POISSON($A128,Model!$G$53,TRUE())</f>
        <v>1</v>
      </c>
      <c r="O128" s="43" t="n">
        <f aca="false">POISSON($A128,Model!$G$54,TRUE())</f>
        <v>1</v>
      </c>
      <c r="P128" s="43" t="n">
        <f aca="false">POISSON($A128,Model!$G$55,TRUE())</f>
        <v>1</v>
      </c>
    </row>
    <row r="129" customFormat="false" ht="15" hidden="false" customHeight="false" outlineLevel="0" collapsed="false">
      <c r="A129" s="7" t="n">
        <v>125</v>
      </c>
      <c r="B129" s="43" t="n">
        <f aca="false">POISSON($A129,Model!B$16,TRUE())</f>
        <v>1</v>
      </c>
      <c r="C129" s="43" t="n">
        <f aca="false">POISSON($A129,Model!C$16,TRUE())</f>
        <v>1</v>
      </c>
      <c r="D129" s="43" t="n">
        <f aca="false">POISSON($A129,Model!D$16,TRUE())</f>
        <v>1</v>
      </c>
      <c r="E129" s="43" t="n">
        <f aca="false">POISSON($A129,Model!E$16,TRUE())</f>
        <v>1</v>
      </c>
      <c r="H129" s="43" t="n">
        <f aca="false">POISSON($A129,Model!$C$46,TRUE())</f>
        <v>1</v>
      </c>
      <c r="I129" s="43" t="n">
        <f aca="false">POISSON($A129,Model!$C$47,TRUE())</f>
        <v>1</v>
      </c>
      <c r="J129" s="43" t="n">
        <f aca="false">POISSON($A129,Model!$C$48,TRUE())</f>
        <v>1</v>
      </c>
      <c r="K129" s="43" t="n">
        <f aca="false">POISSON($A129,Model!$C$53,TRUE())</f>
        <v>1</v>
      </c>
      <c r="L129" s="43" t="n">
        <f aca="false">POISSON($A129,Model!$C$54,TRUE())</f>
        <v>1</v>
      </c>
      <c r="M129" s="43" t="n">
        <f aca="false">POISSON($A129,Model!$C$55,TRUE())</f>
        <v>1</v>
      </c>
      <c r="N129" s="43" t="n">
        <f aca="false">POISSON($A129,Model!$G$53,TRUE())</f>
        <v>1</v>
      </c>
      <c r="O129" s="43" t="n">
        <f aca="false">POISSON($A129,Model!$G$54,TRUE())</f>
        <v>1</v>
      </c>
      <c r="P129" s="43" t="n">
        <f aca="false">POISSON($A129,Model!$G$55,TRUE())</f>
        <v>1</v>
      </c>
    </row>
    <row r="130" customFormat="false" ht="15" hidden="false" customHeight="false" outlineLevel="0" collapsed="false">
      <c r="A130" s="7" t="n">
        <v>126</v>
      </c>
      <c r="B130" s="43" t="n">
        <f aca="false">POISSON($A130,Model!B$16,TRUE())</f>
        <v>1</v>
      </c>
      <c r="C130" s="43" t="n">
        <f aca="false">POISSON($A130,Model!C$16,TRUE())</f>
        <v>1</v>
      </c>
      <c r="D130" s="43" t="n">
        <f aca="false">POISSON($A130,Model!D$16,TRUE())</f>
        <v>1</v>
      </c>
      <c r="E130" s="43" t="n">
        <f aca="false">POISSON($A130,Model!E$16,TRUE())</f>
        <v>1</v>
      </c>
      <c r="H130" s="43" t="n">
        <f aca="false">POISSON($A130,Model!$C$46,TRUE())</f>
        <v>1</v>
      </c>
      <c r="I130" s="43" t="n">
        <f aca="false">POISSON($A130,Model!$C$47,TRUE())</f>
        <v>1</v>
      </c>
      <c r="J130" s="43" t="n">
        <f aca="false">POISSON($A130,Model!$C$48,TRUE())</f>
        <v>1</v>
      </c>
      <c r="K130" s="43" t="n">
        <f aca="false">POISSON($A130,Model!$C$53,TRUE())</f>
        <v>1</v>
      </c>
      <c r="L130" s="43" t="n">
        <f aca="false">POISSON($A130,Model!$C$54,TRUE())</f>
        <v>1</v>
      </c>
      <c r="M130" s="43" t="n">
        <f aca="false">POISSON($A130,Model!$C$55,TRUE())</f>
        <v>1</v>
      </c>
      <c r="N130" s="43" t="n">
        <f aca="false">POISSON($A130,Model!$G$53,TRUE())</f>
        <v>1</v>
      </c>
      <c r="O130" s="43" t="n">
        <f aca="false">POISSON($A130,Model!$G$54,TRUE())</f>
        <v>1</v>
      </c>
      <c r="P130" s="43" t="n">
        <f aca="false">POISSON($A130,Model!$G$55,TRUE())</f>
        <v>1</v>
      </c>
    </row>
    <row r="131" customFormat="false" ht="15" hidden="false" customHeight="false" outlineLevel="0" collapsed="false">
      <c r="A131" s="7" t="n">
        <v>127</v>
      </c>
      <c r="B131" s="43" t="n">
        <f aca="false">POISSON($A131,Model!B$16,TRUE())</f>
        <v>1</v>
      </c>
      <c r="C131" s="43" t="n">
        <f aca="false">POISSON($A131,Model!C$16,TRUE())</f>
        <v>1</v>
      </c>
      <c r="D131" s="43" t="n">
        <f aca="false">POISSON($A131,Model!D$16,TRUE())</f>
        <v>1</v>
      </c>
      <c r="E131" s="43" t="n">
        <f aca="false">POISSON($A131,Model!E$16,TRUE())</f>
        <v>1</v>
      </c>
      <c r="H131" s="43" t="n">
        <f aca="false">POISSON($A131,Model!$C$46,TRUE())</f>
        <v>1</v>
      </c>
      <c r="I131" s="43" t="n">
        <f aca="false">POISSON($A131,Model!$C$47,TRUE())</f>
        <v>1</v>
      </c>
      <c r="J131" s="43" t="n">
        <f aca="false">POISSON($A131,Model!$C$48,TRUE())</f>
        <v>1</v>
      </c>
      <c r="K131" s="43" t="n">
        <f aca="false">POISSON($A131,Model!$C$53,TRUE())</f>
        <v>1</v>
      </c>
      <c r="L131" s="43" t="n">
        <f aca="false">POISSON($A131,Model!$C$54,TRUE())</f>
        <v>1</v>
      </c>
      <c r="M131" s="43" t="n">
        <f aca="false">POISSON($A131,Model!$C$55,TRUE())</f>
        <v>1</v>
      </c>
      <c r="N131" s="43" t="n">
        <f aca="false">POISSON($A131,Model!$G$53,TRUE())</f>
        <v>1</v>
      </c>
      <c r="O131" s="43" t="n">
        <f aca="false">POISSON($A131,Model!$G$54,TRUE())</f>
        <v>1</v>
      </c>
      <c r="P131" s="43" t="n">
        <f aca="false">POISSON($A131,Model!$G$55,TRUE())</f>
        <v>1</v>
      </c>
    </row>
    <row r="132" customFormat="false" ht="15" hidden="false" customHeight="false" outlineLevel="0" collapsed="false">
      <c r="A132" s="7" t="n">
        <v>128</v>
      </c>
      <c r="B132" s="43" t="n">
        <f aca="false">POISSON($A132,Model!B$16,TRUE())</f>
        <v>1</v>
      </c>
      <c r="C132" s="43" t="n">
        <f aca="false">POISSON($A132,Model!C$16,TRUE())</f>
        <v>1</v>
      </c>
      <c r="D132" s="43" t="n">
        <f aca="false">POISSON($A132,Model!D$16,TRUE())</f>
        <v>1</v>
      </c>
      <c r="E132" s="43" t="n">
        <f aca="false">POISSON($A132,Model!E$16,TRUE())</f>
        <v>1</v>
      </c>
      <c r="H132" s="43" t="n">
        <f aca="false">POISSON($A132,Model!$C$46,TRUE())</f>
        <v>1</v>
      </c>
      <c r="I132" s="43" t="n">
        <f aca="false">POISSON($A132,Model!$C$47,TRUE())</f>
        <v>1</v>
      </c>
      <c r="J132" s="43" t="n">
        <f aca="false">POISSON($A132,Model!$C$48,TRUE())</f>
        <v>1</v>
      </c>
      <c r="K132" s="43" t="n">
        <f aca="false">POISSON($A132,Model!$C$53,TRUE())</f>
        <v>1</v>
      </c>
      <c r="L132" s="43" t="n">
        <f aca="false">POISSON($A132,Model!$C$54,TRUE())</f>
        <v>1</v>
      </c>
      <c r="M132" s="43" t="n">
        <f aca="false">POISSON($A132,Model!$C$55,TRUE())</f>
        <v>1</v>
      </c>
      <c r="N132" s="43" t="n">
        <f aca="false">POISSON($A132,Model!$G$53,TRUE())</f>
        <v>1</v>
      </c>
      <c r="O132" s="43" t="n">
        <f aca="false">POISSON($A132,Model!$G$54,TRUE())</f>
        <v>1</v>
      </c>
      <c r="P132" s="43" t="n">
        <f aca="false">POISSON($A132,Model!$G$55,TRUE())</f>
        <v>1</v>
      </c>
    </row>
    <row r="133" customFormat="false" ht="15" hidden="false" customHeight="false" outlineLevel="0" collapsed="false">
      <c r="A133" s="7" t="n">
        <v>129</v>
      </c>
      <c r="B133" s="43" t="n">
        <f aca="false">POISSON($A133,Model!B$16,TRUE())</f>
        <v>1</v>
      </c>
      <c r="C133" s="43" t="n">
        <f aca="false">POISSON($A133,Model!C$16,TRUE())</f>
        <v>1</v>
      </c>
      <c r="D133" s="43" t="n">
        <f aca="false">POISSON($A133,Model!D$16,TRUE())</f>
        <v>1</v>
      </c>
      <c r="E133" s="43" t="n">
        <f aca="false">POISSON($A133,Model!E$16,TRUE())</f>
        <v>1</v>
      </c>
      <c r="H133" s="43" t="n">
        <f aca="false">POISSON($A133,Model!$C$46,TRUE())</f>
        <v>1</v>
      </c>
      <c r="I133" s="43" t="n">
        <f aca="false">POISSON($A133,Model!$C$47,TRUE())</f>
        <v>1</v>
      </c>
      <c r="J133" s="43" t="n">
        <f aca="false">POISSON($A133,Model!$C$48,TRUE())</f>
        <v>1</v>
      </c>
      <c r="K133" s="43" t="n">
        <f aca="false">POISSON($A133,Model!$C$53,TRUE())</f>
        <v>1</v>
      </c>
      <c r="L133" s="43" t="n">
        <f aca="false">POISSON($A133,Model!$C$54,TRUE())</f>
        <v>1</v>
      </c>
      <c r="M133" s="43" t="n">
        <f aca="false">POISSON($A133,Model!$C$55,TRUE())</f>
        <v>1</v>
      </c>
      <c r="N133" s="43" t="n">
        <f aca="false">POISSON($A133,Model!$G$53,TRUE())</f>
        <v>1</v>
      </c>
      <c r="O133" s="43" t="n">
        <f aca="false">POISSON($A133,Model!$G$54,TRUE())</f>
        <v>1</v>
      </c>
      <c r="P133" s="43" t="n">
        <f aca="false">POISSON($A133,Model!$G$55,TRUE())</f>
        <v>1</v>
      </c>
    </row>
    <row r="134" customFormat="false" ht="15" hidden="false" customHeight="false" outlineLevel="0" collapsed="false">
      <c r="A134" s="7" t="n">
        <v>130</v>
      </c>
      <c r="B134" s="43" t="n">
        <f aca="false">POISSON($A134,Model!B$16,TRUE())</f>
        <v>1</v>
      </c>
      <c r="C134" s="43" t="n">
        <f aca="false">POISSON($A134,Model!C$16,TRUE())</f>
        <v>1</v>
      </c>
      <c r="D134" s="43" t="n">
        <f aca="false">POISSON($A134,Model!D$16,TRUE())</f>
        <v>1</v>
      </c>
      <c r="E134" s="43" t="n">
        <f aca="false">POISSON($A134,Model!E$16,TRUE())</f>
        <v>1</v>
      </c>
      <c r="H134" s="43" t="n">
        <f aca="false">POISSON($A134,Model!$C$46,TRUE())</f>
        <v>1</v>
      </c>
      <c r="I134" s="43" t="n">
        <f aca="false">POISSON($A134,Model!$C$47,TRUE())</f>
        <v>1</v>
      </c>
      <c r="J134" s="43" t="n">
        <f aca="false">POISSON($A134,Model!$C$48,TRUE())</f>
        <v>1</v>
      </c>
      <c r="K134" s="43" t="n">
        <f aca="false">POISSON($A134,Model!$C$53,TRUE())</f>
        <v>1</v>
      </c>
      <c r="L134" s="43" t="n">
        <f aca="false">POISSON($A134,Model!$C$54,TRUE())</f>
        <v>1</v>
      </c>
      <c r="M134" s="43" t="n">
        <f aca="false">POISSON($A134,Model!$C$55,TRUE())</f>
        <v>1</v>
      </c>
      <c r="N134" s="43" t="n">
        <f aca="false">POISSON($A134,Model!$G$53,TRUE())</f>
        <v>1</v>
      </c>
      <c r="O134" s="43" t="n">
        <f aca="false">POISSON($A134,Model!$G$54,TRUE())</f>
        <v>1</v>
      </c>
      <c r="P134" s="43" t="n">
        <f aca="false">POISSON($A134,Model!$G$55,TRUE())</f>
        <v>1</v>
      </c>
    </row>
    <row r="135" customFormat="false" ht="15" hidden="false" customHeight="false" outlineLevel="0" collapsed="false">
      <c r="A135" s="7" t="n">
        <v>131</v>
      </c>
      <c r="B135" s="43" t="n">
        <f aca="false">POISSON($A135,Model!B$16,TRUE())</f>
        <v>1</v>
      </c>
      <c r="C135" s="43" t="n">
        <f aca="false">POISSON($A135,Model!C$16,TRUE())</f>
        <v>1</v>
      </c>
      <c r="D135" s="43" t="n">
        <f aca="false">POISSON($A135,Model!D$16,TRUE())</f>
        <v>1</v>
      </c>
      <c r="E135" s="43" t="n">
        <f aca="false">POISSON($A135,Model!E$16,TRUE())</f>
        <v>1</v>
      </c>
      <c r="H135" s="43" t="n">
        <f aca="false">POISSON($A135,Model!$C$46,TRUE())</f>
        <v>1</v>
      </c>
      <c r="I135" s="43" t="n">
        <f aca="false">POISSON($A135,Model!$C$47,TRUE())</f>
        <v>1</v>
      </c>
      <c r="J135" s="43" t="n">
        <f aca="false">POISSON($A135,Model!$C$48,TRUE())</f>
        <v>1</v>
      </c>
      <c r="K135" s="43" t="n">
        <f aca="false">POISSON($A135,Model!$C$53,TRUE())</f>
        <v>1</v>
      </c>
      <c r="L135" s="43" t="n">
        <f aca="false">POISSON($A135,Model!$C$54,TRUE())</f>
        <v>1</v>
      </c>
      <c r="M135" s="43" t="n">
        <f aca="false">POISSON($A135,Model!$C$55,TRUE())</f>
        <v>1</v>
      </c>
      <c r="N135" s="43" t="n">
        <f aca="false">POISSON($A135,Model!$G$53,TRUE())</f>
        <v>1</v>
      </c>
      <c r="O135" s="43" t="n">
        <f aca="false">POISSON($A135,Model!$G$54,TRUE())</f>
        <v>1</v>
      </c>
      <c r="P135" s="43" t="n">
        <f aca="false">POISSON($A135,Model!$G$55,TRUE())</f>
        <v>1</v>
      </c>
    </row>
    <row r="136" customFormat="false" ht="15" hidden="false" customHeight="false" outlineLevel="0" collapsed="false">
      <c r="A136" s="7" t="n">
        <v>132</v>
      </c>
      <c r="B136" s="43" t="n">
        <f aca="false">POISSON($A136,Model!B$16,TRUE())</f>
        <v>1</v>
      </c>
      <c r="C136" s="43" t="n">
        <f aca="false">POISSON($A136,Model!C$16,TRUE())</f>
        <v>1</v>
      </c>
      <c r="D136" s="43" t="n">
        <f aca="false">POISSON($A136,Model!D$16,TRUE())</f>
        <v>1</v>
      </c>
      <c r="E136" s="43" t="n">
        <f aca="false">POISSON($A136,Model!E$16,TRUE())</f>
        <v>1</v>
      </c>
      <c r="H136" s="43" t="n">
        <f aca="false">POISSON($A136,Model!$C$46,TRUE())</f>
        <v>1</v>
      </c>
      <c r="I136" s="43" t="n">
        <f aca="false">POISSON($A136,Model!$C$47,TRUE())</f>
        <v>1</v>
      </c>
      <c r="J136" s="43" t="n">
        <f aca="false">POISSON($A136,Model!$C$48,TRUE())</f>
        <v>1</v>
      </c>
      <c r="K136" s="43" t="n">
        <f aca="false">POISSON($A136,Model!$C$53,TRUE())</f>
        <v>1</v>
      </c>
      <c r="L136" s="43" t="n">
        <f aca="false">POISSON($A136,Model!$C$54,TRUE())</f>
        <v>1</v>
      </c>
      <c r="M136" s="43" t="n">
        <f aca="false">POISSON($A136,Model!$C$55,TRUE())</f>
        <v>1</v>
      </c>
      <c r="N136" s="43" t="n">
        <f aca="false">POISSON($A136,Model!$G$53,TRUE())</f>
        <v>1</v>
      </c>
      <c r="O136" s="43" t="n">
        <f aca="false">POISSON($A136,Model!$G$54,TRUE())</f>
        <v>1</v>
      </c>
      <c r="P136" s="43" t="n">
        <f aca="false">POISSON($A136,Model!$G$55,TRUE())</f>
        <v>1</v>
      </c>
    </row>
    <row r="137" customFormat="false" ht="15" hidden="false" customHeight="false" outlineLevel="0" collapsed="false">
      <c r="A137" s="7" t="n">
        <v>133</v>
      </c>
      <c r="B137" s="43" t="n">
        <f aca="false">POISSON($A137,Model!B$16,TRUE())</f>
        <v>1</v>
      </c>
      <c r="C137" s="43" t="n">
        <f aca="false">POISSON($A137,Model!C$16,TRUE())</f>
        <v>1</v>
      </c>
      <c r="D137" s="43" t="n">
        <f aca="false">POISSON($A137,Model!D$16,TRUE())</f>
        <v>1</v>
      </c>
      <c r="E137" s="43" t="n">
        <f aca="false">POISSON($A137,Model!E$16,TRUE())</f>
        <v>1</v>
      </c>
      <c r="H137" s="43" t="n">
        <f aca="false">POISSON($A137,Model!$C$46,TRUE())</f>
        <v>1</v>
      </c>
      <c r="I137" s="43" t="n">
        <f aca="false">POISSON($A137,Model!$C$47,TRUE())</f>
        <v>1</v>
      </c>
      <c r="J137" s="43" t="n">
        <f aca="false">POISSON($A137,Model!$C$48,TRUE())</f>
        <v>1</v>
      </c>
      <c r="K137" s="43" t="n">
        <f aca="false">POISSON($A137,Model!$C$53,TRUE())</f>
        <v>1</v>
      </c>
      <c r="L137" s="43" t="n">
        <f aca="false">POISSON($A137,Model!$C$54,TRUE())</f>
        <v>1</v>
      </c>
      <c r="M137" s="43" t="n">
        <f aca="false">POISSON($A137,Model!$C$55,TRUE())</f>
        <v>1</v>
      </c>
      <c r="N137" s="43" t="n">
        <f aca="false">POISSON($A137,Model!$G$53,TRUE())</f>
        <v>1</v>
      </c>
      <c r="O137" s="43" t="n">
        <f aca="false">POISSON($A137,Model!$G$54,TRUE())</f>
        <v>1</v>
      </c>
      <c r="P137" s="43" t="n">
        <f aca="false">POISSON($A137,Model!$G$55,TRUE())</f>
        <v>1</v>
      </c>
    </row>
    <row r="138" customFormat="false" ht="15" hidden="false" customHeight="false" outlineLevel="0" collapsed="false">
      <c r="A138" s="7" t="n">
        <v>134</v>
      </c>
      <c r="B138" s="43" t="n">
        <f aca="false">POISSON($A138,Model!B$16,TRUE())</f>
        <v>1</v>
      </c>
      <c r="C138" s="43" t="n">
        <f aca="false">POISSON($A138,Model!C$16,TRUE())</f>
        <v>1</v>
      </c>
      <c r="D138" s="43" t="n">
        <f aca="false">POISSON($A138,Model!D$16,TRUE())</f>
        <v>1</v>
      </c>
      <c r="E138" s="43" t="n">
        <f aca="false">POISSON($A138,Model!E$16,TRUE())</f>
        <v>1</v>
      </c>
      <c r="H138" s="43" t="n">
        <f aca="false">POISSON($A138,Model!$C$46,TRUE())</f>
        <v>1</v>
      </c>
      <c r="I138" s="43" t="n">
        <f aca="false">POISSON($A138,Model!$C$47,TRUE())</f>
        <v>1</v>
      </c>
      <c r="J138" s="43" t="n">
        <f aca="false">POISSON($A138,Model!$C$48,TRUE())</f>
        <v>1</v>
      </c>
      <c r="K138" s="43" t="n">
        <f aca="false">POISSON($A138,Model!$C$53,TRUE())</f>
        <v>1</v>
      </c>
      <c r="L138" s="43" t="n">
        <f aca="false">POISSON($A138,Model!$C$54,TRUE())</f>
        <v>1</v>
      </c>
      <c r="M138" s="43" t="n">
        <f aca="false">POISSON($A138,Model!$C$55,TRUE())</f>
        <v>1</v>
      </c>
      <c r="N138" s="43" t="n">
        <f aca="false">POISSON($A138,Model!$G$53,TRUE())</f>
        <v>1</v>
      </c>
      <c r="O138" s="43" t="n">
        <f aca="false">POISSON($A138,Model!$G$54,TRUE())</f>
        <v>1</v>
      </c>
      <c r="P138" s="43" t="n">
        <f aca="false">POISSON($A138,Model!$G$55,TRUE())</f>
        <v>1</v>
      </c>
    </row>
    <row r="139" customFormat="false" ht="15" hidden="false" customHeight="false" outlineLevel="0" collapsed="false">
      <c r="A139" s="7" t="n">
        <v>135</v>
      </c>
      <c r="B139" s="43" t="n">
        <f aca="false">POISSON($A139,Model!B$16,TRUE())</f>
        <v>1</v>
      </c>
      <c r="C139" s="43" t="n">
        <f aca="false">POISSON($A139,Model!C$16,TRUE())</f>
        <v>1</v>
      </c>
      <c r="D139" s="43" t="n">
        <f aca="false">POISSON($A139,Model!D$16,TRUE())</f>
        <v>1</v>
      </c>
      <c r="E139" s="43" t="n">
        <f aca="false">POISSON($A139,Model!E$16,TRUE())</f>
        <v>1</v>
      </c>
      <c r="H139" s="43" t="n">
        <f aca="false">POISSON($A139,Model!$C$46,TRUE())</f>
        <v>1</v>
      </c>
      <c r="I139" s="43" t="n">
        <f aca="false">POISSON($A139,Model!$C$47,TRUE())</f>
        <v>1</v>
      </c>
      <c r="J139" s="43" t="n">
        <f aca="false">POISSON($A139,Model!$C$48,TRUE())</f>
        <v>1</v>
      </c>
      <c r="K139" s="43" t="n">
        <f aca="false">POISSON($A139,Model!$C$53,TRUE())</f>
        <v>1</v>
      </c>
      <c r="L139" s="43" t="n">
        <f aca="false">POISSON($A139,Model!$C$54,TRUE())</f>
        <v>1</v>
      </c>
      <c r="M139" s="43" t="n">
        <f aca="false">POISSON($A139,Model!$C$55,TRUE())</f>
        <v>1</v>
      </c>
      <c r="N139" s="43" t="n">
        <f aca="false">POISSON($A139,Model!$G$53,TRUE())</f>
        <v>1</v>
      </c>
      <c r="O139" s="43" t="n">
        <f aca="false">POISSON($A139,Model!$G$54,TRUE())</f>
        <v>1</v>
      </c>
      <c r="P139" s="43" t="n">
        <f aca="false">POISSON($A139,Model!$G$55,TRUE())</f>
        <v>1</v>
      </c>
    </row>
    <row r="140" customFormat="false" ht="15" hidden="false" customHeight="false" outlineLevel="0" collapsed="false">
      <c r="A140" s="7" t="n">
        <v>136</v>
      </c>
      <c r="B140" s="43" t="n">
        <f aca="false">POISSON($A140,Model!B$16,TRUE())</f>
        <v>1</v>
      </c>
      <c r="C140" s="43" t="n">
        <f aca="false">POISSON($A140,Model!C$16,TRUE())</f>
        <v>1</v>
      </c>
      <c r="D140" s="43" t="n">
        <f aca="false">POISSON($A140,Model!D$16,TRUE())</f>
        <v>1</v>
      </c>
      <c r="E140" s="43" t="n">
        <f aca="false">POISSON($A140,Model!E$16,TRUE())</f>
        <v>1</v>
      </c>
      <c r="H140" s="43" t="n">
        <f aca="false">POISSON($A140,Model!$C$46,TRUE())</f>
        <v>1</v>
      </c>
      <c r="I140" s="43" t="n">
        <f aca="false">POISSON($A140,Model!$C$47,TRUE())</f>
        <v>1</v>
      </c>
      <c r="J140" s="43" t="n">
        <f aca="false">POISSON($A140,Model!$C$48,TRUE())</f>
        <v>1</v>
      </c>
      <c r="K140" s="43" t="n">
        <f aca="false">POISSON($A140,Model!$C$53,TRUE())</f>
        <v>1</v>
      </c>
      <c r="L140" s="43" t="n">
        <f aca="false">POISSON($A140,Model!$C$54,TRUE())</f>
        <v>1</v>
      </c>
      <c r="M140" s="43" t="n">
        <f aca="false">POISSON($A140,Model!$C$55,TRUE())</f>
        <v>1</v>
      </c>
      <c r="N140" s="43" t="n">
        <f aca="false">POISSON($A140,Model!$G$53,TRUE())</f>
        <v>1</v>
      </c>
      <c r="O140" s="43" t="n">
        <f aca="false">POISSON($A140,Model!$G$54,TRUE())</f>
        <v>1</v>
      </c>
      <c r="P140" s="43" t="n">
        <f aca="false">POISSON($A140,Model!$G$55,TRUE())</f>
        <v>1</v>
      </c>
    </row>
    <row r="141" customFormat="false" ht="15" hidden="false" customHeight="false" outlineLevel="0" collapsed="false">
      <c r="A141" s="7" t="n">
        <v>137</v>
      </c>
      <c r="B141" s="43" t="n">
        <f aca="false">POISSON($A141,Model!B$16,TRUE())</f>
        <v>1</v>
      </c>
      <c r="C141" s="43" t="n">
        <f aca="false">POISSON($A141,Model!C$16,TRUE())</f>
        <v>1</v>
      </c>
      <c r="D141" s="43" t="n">
        <f aca="false">POISSON($A141,Model!D$16,TRUE())</f>
        <v>1</v>
      </c>
      <c r="E141" s="43" t="n">
        <f aca="false">POISSON($A141,Model!E$16,TRUE())</f>
        <v>1</v>
      </c>
      <c r="H141" s="43" t="n">
        <f aca="false">POISSON($A141,Model!$C$46,TRUE())</f>
        <v>1</v>
      </c>
      <c r="I141" s="43" t="n">
        <f aca="false">POISSON($A141,Model!$C$47,TRUE())</f>
        <v>1</v>
      </c>
      <c r="J141" s="43" t="n">
        <f aca="false">POISSON($A141,Model!$C$48,TRUE())</f>
        <v>1</v>
      </c>
      <c r="K141" s="43" t="n">
        <f aca="false">POISSON($A141,Model!$C$53,TRUE())</f>
        <v>1</v>
      </c>
      <c r="L141" s="43" t="n">
        <f aca="false">POISSON($A141,Model!$C$54,TRUE())</f>
        <v>1</v>
      </c>
      <c r="M141" s="43" t="n">
        <f aca="false">POISSON($A141,Model!$C$55,TRUE())</f>
        <v>1</v>
      </c>
      <c r="N141" s="43" t="n">
        <f aca="false">POISSON($A141,Model!$G$53,TRUE())</f>
        <v>1</v>
      </c>
      <c r="O141" s="43" t="n">
        <f aca="false">POISSON($A141,Model!$G$54,TRUE())</f>
        <v>1</v>
      </c>
      <c r="P141" s="43" t="n">
        <f aca="false">POISSON($A141,Model!$G$55,TRUE())</f>
        <v>1</v>
      </c>
    </row>
    <row r="142" customFormat="false" ht="15" hidden="false" customHeight="false" outlineLevel="0" collapsed="false">
      <c r="A142" s="7" t="n">
        <v>138</v>
      </c>
      <c r="B142" s="43" t="n">
        <f aca="false">POISSON($A142,Model!B$16,TRUE())</f>
        <v>1</v>
      </c>
      <c r="C142" s="43" t="n">
        <f aca="false">POISSON($A142,Model!C$16,TRUE())</f>
        <v>1</v>
      </c>
      <c r="D142" s="43" t="n">
        <f aca="false">POISSON($A142,Model!D$16,TRUE())</f>
        <v>1</v>
      </c>
      <c r="E142" s="43" t="n">
        <f aca="false">POISSON($A142,Model!E$16,TRUE())</f>
        <v>1</v>
      </c>
      <c r="H142" s="43" t="n">
        <f aca="false">POISSON($A142,Model!$C$46,TRUE())</f>
        <v>1</v>
      </c>
      <c r="I142" s="43" t="n">
        <f aca="false">POISSON($A142,Model!$C$47,TRUE())</f>
        <v>1</v>
      </c>
      <c r="J142" s="43" t="n">
        <f aca="false">POISSON($A142,Model!$C$48,TRUE())</f>
        <v>1</v>
      </c>
      <c r="K142" s="43" t="n">
        <f aca="false">POISSON($A142,Model!$C$53,TRUE())</f>
        <v>1</v>
      </c>
      <c r="L142" s="43" t="n">
        <f aca="false">POISSON($A142,Model!$C$54,TRUE())</f>
        <v>1</v>
      </c>
      <c r="M142" s="43" t="n">
        <f aca="false">POISSON($A142,Model!$C$55,TRUE())</f>
        <v>1</v>
      </c>
      <c r="N142" s="43" t="n">
        <f aca="false">POISSON($A142,Model!$G$53,TRUE())</f>
        <v>1</v>
      </c>
      <c r="O142" s="43" t="n">
        <f aca="false">POISSON($A142,Model!$G$54,TRUE())</f>
        <v>1</v>
      </c>
      <c r="P142" s="43" t="n">
        <f aca="false">POISSON($A142,Model!$G$55,TRUE())</f>
        <v>1</v>
      </c>
    </row>
    <row r="143" customFormat="false" ht="15" hidden="false" customHeight="false" outlineLevel="0" collapsed="false">
      <c r="A143" s="7" t="n">
        <v>139</v>
      </c>
      <c r="B143" s="43" t="n">
        <f aca="false">POISSON($A143,Model!B$16,TRUE())</f>
        <v>1</v>
      </c>
      <c r="C143" s="43" t="n">
        <f aca="false">POISSON($A143,Model!C$16,TRUE())</f>
        <v>1</v>
      </c>
      <c r="D143" s="43" t="n">
        <f aca="false">POISSON($A143,Model!D$16,TRUE())</f>
        <v>1</v>
      </c>
      <c r="E143" s="43" t="n">
        <f aca="false">POISSON($A143,Model!E$16,TRUE())</f>
        <v>1</v>
      </c>
      <c r="H143" s="43" t="n">
        <f aca="false">POISSON($A143,Model!$C$46,TRUE())</f>
        <v>1</v>
      </c>
      <c r="I143" s="43" t="n">
        <f aca="false">POISSON($A143,Model!$C$47,TRUE())</f>
        <v>1</v>
      </c>
      <c r="J143" s="43" t="n">
        <f aca="false">POISSON($A143,Model!$C$48,TRUE())</f>
        <v>1</v>
      </c>
      <c r="K143" s="43" t="n">
        <f aca="false">POISSON($A143,Model!$C$53,TRUE())</f>
        <v>1</v>
      </c>
      <c r="L143" s="43" t="n">
        <f aca="false">POISSON($A143,Model!$C$54,TRUE())</f>
        <v>1</v>
      </c>
      <c r="M143" s="43" t="n">
        <f aca="false">POISSON($A143,Model!$C$55,TRUE())</f>
        <v>1</v>
      </c>
      <c r="N143" s="43" t="n">
        <f aca="false">POISSON($A143,Model!$G$53,TRUE())</f>
        <v>1</v>
      </c>
      <c r="O143" s="43" t="n">
        <f aca="false">POISSON($A143,Model!$G$54,TRUE())</f>
        <v>1</v>
      </c>
      <c r="P143" s="43" t="n">
        <f aca="false">POISSON($A143,Model!$G$55,TRUE())</f>
        <v>1</v>
      </c>
    </row>
    <row r="144" customFormat="false" ht="15" hidden="false" customHeight="false" outlineLevel="0" collapsed="false">
      <c r="A144" s="7" t="n">
        <v>140</v>
      </c>
      <c r="B144" s="43" t="n">
        <f aca="false">POISSON($A144,Model!B$16,TRUE())</f>
        <v>1</v>
      </c>
      <c r="C144" s="43" t="n">
        <f aca="false">POISSON($A144,Model!C$16,TRUE())</f>
        <v>1</v>
      </c>
      <c r="D144" s="43" t="n">
        <f aca="false">POISSON($A144,Model!D$16,TRUE())</f>
        <v>1</v>
      </c>
      <c r="E144" s="43" t="n">
        <f aca="false">POISSON($A144,Model!E$16,TRUE())</f>
        <v>1</v>
      </c>
      <c r="H144" s="43" t="n">
        <f aca="false">POISSON($A144,Model!$C$46,TRUE())</f>
        <v>1</v>
      </c>
      <c r="I144" s="43" t="n">
        <f aca="false">POISSON($A144,Model!$C$47,TRUE())</f>
        <v>1</v>
      </c>
      <c r="J144" s="43" t="n">
        <f aca="false">POISSON($A144,Model!$C$48,TRUE())</f>
        <v>1</v>
      </c>
      <c r="K144" s="43" t="n">
        <f aca="false">POISSON($A144,Model!$C$53,TRUE())</f>
        <v>1</v>
      </c>
      <c r="L144" s="43" t="n">
        <f aca="false">POISSON($A144,Model!$C$54,TRUE())</f>
        <v>1</v>
      </c>
      <c r="M144" s="43" t="n">
        <f aca="false">POISSON($A144,Model!$C$55,TRUE())</f>
        <v>1</v>
      </c>
      <c r="N144" s="43" t="n">
        <f aca="false">POISSON($A144,Model!$G$53,TRUE())</f>
        <v>1</v>
      </c>
      <c r="O144" s="43" t="n">
        <f aca="false">POISSON($A144,Model!$G$54,TRUE())</f>
        <v>1</v>
      </c>
      <c r="P144" s="43" t="n">
        <f aca="false">POISSON($A144,Model!$G$55,TRUE())</f>
        <v>1</v>
      </c>
    </row>
    <row r="145" customFormat="false" ht="15" hidden="false" customHeight="false" outlineLevel="0" collapsed="false">
      <c r="A145" s="7" t="n">
        <v>141</v>
      </c>
      <c r="B145" s="43" t="n">
        <f aca="false">POISSON($A145,Model!B$16,TRUE())</f>
        <v>1</v>
      </c>
      <c r="C145" s="43" t="n">
        <f aca="false">POISSON($A145,Model!C$16,TRUE())</f>
        <v>1</v>
      </c>
      <c r="D145" s="43" t="n">
        <f aca="false">POISSON($A145,Model!D$16,TRUE())</f>
        <v>1</v>
      </c>
      <c r="E145" s="43" t="n">
        <f aca="false">POISSON($A145,Model!E$16,TRUE())</f>
        <v>1</v>
      </c>
      <c r="H145" s="43" t="n">
        <f aca="false">POISSON($A145,Model!$C$46,TRUE())</f>
        <v>1</v>
      </c>
      <c r="I145" s="43" t="n">
        <f aca="false">POISSON($A145,Model!$C$47,TRUE())</f>
        <v>1</v>
      </c>
      <c r="J145" s="43" t="n">
        <f aca="false">POISSON($A145,Model!$C$48,TRUE())</f>
        <v>1</v>
      </c>
      <c r="K145" s="43" t="n">
        <f aca="false">POISSON($A145,Model!$C$53,TRUE())</f>
        <v>1</v>
      </c>
      <c r="L145" s="43" t="n">
        <f aca="false">POISSON($A145,Model!$C$54,TRUE())</f>
        <v>1</v>
      </c>
      <c r="M145" s="43" t="n">
        <f aca="false">POISSON($A145,Model!$C$55,TRUE())</f>
        <v>1</v>
      </c>
      <c r="N145" s="43" t="n">
        <f aca="false">POISSON($A145,Model!$G$53,TRUE())</f>
        <v>1</v>
      </c>
      <c r="O145" s="43" t="n">
        <f aca="false">POISSON($A145,Model!$G$54,TRUE())</f>
        <v>1</v>
      </c>
      <c r="P145" s="43" t="n">
        <f aca="false">POISSON($A145,Model!$G$55,TRUE())</f>
        <v>1</v>
      </c>
    </row>
    <row r="146" customFormat="false" ht="15" hidden="false" customHeight="false" outlineLevel="0" collapsed="false">
      <c r="A146" s="7" t="n">
        <v>142</v>
      </c>
      <c r="B146" s="43" t="n">
        <f aca="false">POISSON($A146,Model!B$16,TRUE())</f>
        <v>1</v>
      </c>
      <c r="C146" s="43" t="n">
        <f aca="false">POISSON($A146,Model!C$16,TRUE())</f>
        <v>1</v>
      </c>
      <c r="D146" s="43" t="n">
        <f aca="false">POISSON($A146,Model!D$16,TRUE())</f>
        <v>1</v>
      </c>
      <c r="E146" s="43" t="n">
        <f aca="false">POISSON($A146,Model!E$16,TRUE())</f>
        <v>1</v>
      </c>
      <c r="H146" s="43" t="n">
        <f aca="false">POISSON($A146,Model!$C$46,TRUE())</f>
        <v>1</v>
      </c>
      <c r="I146" s="43" t="n">
        <f aca="false">POISSON($A146,Model!$C$47,TRUE())</f>
        <v>1</v>
      </c>
      <c r="J146" s="43" t="n">
        <f aca="false">POISSON($A146,Model!$C$48,TRUE())</f>
        <v>1</v>
      </c>
      <c r="K146" s="43" t="n">
        <f aca="false">POISSON($A146,Model!$C$53,TRUE())</f>
        <v>1</v>
      </c>
      <c r="L146" s="43" t="n">
        <f aca="false">POISSON($A146,Model!$C$54,TRUE())</f>
        <v>1</v>
      </c>
      <c r="M146" s="43" t="n">
        <f aca="false">POISSON($A146,Model!$C$55,TRUE())</f>
        <v>1</v>
      </c>
      <c r="N146" s="43" t="n">
        <f aca="false">POISSON($A146,Model!$G$53,TRUE())</f>
        <v>1</v>
      </c>
      <c r="O146" s="43" t="n">
        <f aca="false">POISSON($A146,Model!$G$54,TRUE())</f>
        <v>1</v>
      </c>
      <c r="P146" s="43" t="n">
        <f aca="false">POISSON($A146,Model!$G$55,TRUE())</f>
        <v>1</v>
      </c>
    </row>
    <row r="147" customFormat="false" ht="15" hidden="false" customHeight="false" outlineLevel="0" collapsed="false">
      <c r="A147" s="7" t="n">
        <v>143</v>
      </c>
      <c r="B147" s="43" t="n">
        <f aca="false">POISSON($A147,Model!B$16,TRUE())</f>
        <v>1</v>
      </c>
      <c r="C147" s="43" t="n">
        <f aca="false">POISSON($A147,Model!C$16,TRUE())</f>
        <v>1</v>
      </c>
      <c r="D147" s="43" t="n">
        <f aca="false">POISSON($A147,Model!D$16,TRUE())</f>
        <v>1</v>
      </c>
      <c r="E147" s="43" t="n">
        <f aca="false">POISSON($A147,Model!E$16,TRUE())</f>
        <v>1</v>
      </c>
      <c r="H147" s="43" t="n">
        <f aca="false">POISSON($A147,Model!$C$46,TRUE())</f>
        <v>1</v>
      </c>
      <c r="I147" s="43" t="n">
        <f aca="false">POISSON($A147,Model!$C$47,TRUE())</f>
        <v>1</v>
      </c>
      <c r="J147" s="43" t="n">
        <f aca="false">POISSON($A147,Model!$C$48,TRUE())</f>
        <v>1</v>
      </c>
      <c r="K147" s="43" t="n">
        <f aca="false">POISSON($A147,Model!$C$53,TRUE())</f>
        <v>1</v>
      </c>
      <c r="L147" s="43" t="n">
        <f aca="false">POISSON($A147,Model!$C$54,TRUE())</f>
        <v>1</v>
      </c>
      <c r="M147" s="43" t="n">
        <f aca="false">POISSON($A147,Model!$C$55,TRUE())</f>
        <v>1</v>
      </c>
      <c r="N147" s="43" t="n">
        <f aca="false">POISSON($A147,Model!$G$53,TRUE())</f>
        <v>1</v>
      </c>
      <c r="O147" s="43" t="n">
        <f aca="false">POISSON($A147,Model!$G$54,TRUE())</f>
        <v>1</v>
      </c>
      <c r="P147" s="43" t="n">
        <f aca="false">POISSON($A147,Model!$G$55,TRUE())</f>
        <v>1</v>
      </c>
    </row>
    <row r="148" customFormat="false" ht="15" hidden="false" customHeight="false" outlineLevel="0" collapsed="false">
      <c r="A148" s="7" t="n">
        <v>144</v>
      </c>
      <c r="B148" s="43" t="n">
        <f aca="false">POISSON($A148,Model!B$16,TRUE())</f>
        <v>1</v>
      </c>
      <c r="C148" s="43" t="n">
        <f aca="false">POISSON($A148,Model!C$16,TRUE())</f>
        <v>1</v>
      </c>
      <c r="D148" s="43" t="n">
        <f aca="false">POISSON($A148,Model!D$16,TRUE())</f>
        <v>1</v>
      </c>
      <c r="E148" s="43" t="n">
        <f aca="false">POISSON($A148,Model!E$16,TRUE())</f>
        <v>1</v>
      </c>
      <c r="H148" s="43" t="n">
        <f aca="false">POISSON($A148,Model!$C$46,TRUE())</f>
        <v>1</v>
      </c>
      <c r="I148" s="43" t="n">
        <f aca="false">POISSON($A148,Model!$C$47,TRUE())</f>
        <v>1</v>
      </c>
      <c r="J148" s="43" t="n">
        <f aca="false">POISSON($A148,Model!$C$48,TRUE())</f>
        <v>1</v>
      </c>
      <c r="K148" s="43" t="n">
        <f aca="false">POISSON($A148,Model!$C$53,TRUE())</f>
        <v>1</v>
      </c>
      <c r="L148" s="43" t="n">
        <f aca="false">POISSON($A148,Model!$C$54,TRUE())</f>
        <v>1</v>
      </c>
      <c r="M148" s="43" t="n">
        <f aca="false">POISSON($A148,Model!$C$55,TRUE())</f>
        <v>1</v>
      </c>
      <c r="N148" s="43" t="n">
        <f aca="false">POISSON($A148,Model!$G$53,TRUE())</f>
        <v>1</v>
      </c>
      <c r="O148" s="43" t="n">
        <f aca="false">POISSON($A148,Model!$G$54,TRUE())</f>
        <v>1</v>
      </c>
      <c r="P148" s="43" t="n">
        <f aca="false">POISSON($A148,Model!$G$55,TRUE())</f>
        <v>1</v>
      </c>
    </row>
    <row r="149" customFormat="false" ht="15" hidden="false" customHeight="false" outlineLevel="0" collapsed="false">
      <c r="A149" s="7" t="n">
        <v>145</v>
      </c>
      <c r="B149" s="43" t="n">
        <f aca="false">POISSON($A149,Model!B$16,TRUE())</f>
        <v>1</v>
      </c>
      <c r="C149" s="43" t="n">
        <f aca="false">POISSON($A149,Model!C$16,TRUE())</f>
        <v>1</v>
      </c>
      <c r="D149" s="43" t="n">
        <f aca="false">POISSON($A149,Model!D$16,TRUE())</f>
        <v>1</v>
      </c>
      <c r="E149" s="43" t="n">
        <f aca="false">POISSON($A149,Model!E$16,TRUE())</f>
        <v>1</v>
      </c>
      <c r="H149" s="43" t="n">
        <f aca="false">POISSON($A149,Model!$C$46,TRUE())</f>
        <v>1</v>
      </c>
      <c r="I149" s="43" t="n">
        <f aca="false">POISSON($A149,Model!$C$47,TRUE())</f>
        <v>1</v>
      </c>
      <c r="J149" s="43" t="n">
        <f aca="false">POISSON($A149,Model!$C$48,TRUE())</f>
        <v>1</v>
      </c>
      <c r="K149" s="43" t="n">
        <f aca="false">POISSON($A149,Model!$C$53,TRUE())</f>
        <v>1</v>
      </c>
      <c r="L149" s="43" t="n">
        <f aca="false">POISSON($A149,Model!$C$54,TRUE())</f>
        <v>1</v>
      </c>
      <c r="M149" s="43" t="n">
        <f aca="false">POISSON($A149,Model!$C$55,TRUE())</f>
        <v>1</v>
      </c>
      <c r="N149" s="43" t="n">
        <f aca="false">POISSON($A149,Model!$G$53,TRUE())</f>
        <v>1</v>
      </c>
      <c r="O149" s="43" t="n">
        <f aca="false">POISSON($A149,Model!$G$54,TRUE())</f>
        <v>1</v>
      </c>
      <c r="P149" s="43" t="n">
        <f aca="false">POISSON($A149,Model!$G$55,TRUE())</f>
        <v>1</v>
      </c>
    </row>
    <row r="150" customFormat="false" ht="15" hidden="false" customHeight="false" outlineLevel="0" collapsed="false">
      <c r="A150" s="7" t="n">
        <v>146</v>
      </c>
      <c r="B150" s="43" t="n">
        <f aca="false">POISSON($A150,Model!B$16,TRUE())</f>
        <v>1</v>
      </c>
      <c r="C150" s="43" t="n">
        <f aca="false">POISSON($A150,Model!C$16,TRUE())</f>
        <v>1</v>
      </c>
      <c r="D150" s="43" t="n">
        <f aca="false">POISSON($A150,Model!D$16,TRUE())</f>
        <v>1</v>
      </c>
      <c r="E150" s="43" t="n">
        <f aca="false">POISSON($A150,Model!E$16,TRUE())</f>
        <v>1</v>
      </c>
      <c r="H150" s="43" t="n">
        <f aca="false">POISSON($A150,Model!$C$46,TRUE())</f>
        <v>1</v>
      </c>
      <c r="I150" s="43" t="n">
        <f aca="false">POISSON($A150,Model!$C$47,TRUE())</f>
        <v>1</v>
      </c>
      <c r="J150" s="43" t="n">
        <f aca="false">POISSON($A150,Model!$C$48,TRUE())</f>
        <v>1</v>
      </c>
      <c r="K150" s="43" t="n">
        <f aca="false">POISSON($A150,Model!$C$53,TRUE())</f>
        <v>1</v>
      </c>
      <c r="L150" s="43" t="n">
        <f aca="false">POISSON($A150,Model!$C$54,TRUE())</f>
        <v>1</v>
      </c>
      <c r="M150" s="43" t="n">
        <f aca="false">POISSON($A150,Model!$C$55,TRUE())</f>
        <v>1</v>
      </c>
      <c r="N150" s="43" t="n">
        <f aca="false">POISSON($A150,Model!$G$53,TRUE())</f>
        <v>1</v>
      </c>
      <c r="O150" s="43" t="n">
        <f aca="false">POISSON($A150,Model!$G$54,TRUE())</f>
        <v>1</v>
      </c>
      <c r="P150" s="43" t="n">
        <f aca="false">POISSON($A150,Model!$G$55,TRUE())</f>
        <v>1</v>
      </c>
    </row>
    <row r="151" customFormat="false" ht="15" hidden="false" customHeight="false" outlineLevel="0" collapsed="false">
      <c r="A151" s="7" t="n">
        <v>147</v>
      </c>
      <c r="B151" s="43" t="n">
        <f aca="false">POISSON($A151,Model!B$16,TRUE())</f>
        <v>1</v>
      </c>
      <c r="C151" s="43" t="n">
        <f aca="false">POISSON($A151,Model!C$16,TRUE())</f>
        <v>1</v>
      </c>
      <c r="D151" s="43" t="n">
        <f aca="false">POISSON($A151,Model!D$16,TRUE())</f>
        <v>1</v>
      </c>
      <c r="E151" s="43" t="n">
        <f aca="false">POISSON($A151,Model!E$16,TRUE())</f>
        <v>1</v>
      </c>
      <c r="H151" s="43" t="n">
        <f aca="false">POISSON($A151,Model!$C$46,TRUE())</f>
        <v>1</v>
      </c>
      <c r="I151" s="43" t="n">
        <f aca="false">POISSON($A151,Model!$C$47,TRUE())</f>
        <v>1</v>
      </c>
      <c r="J151" s="43" t="n">
        <f aca="false">POISSON($A151,Model!$C$48,TRUE())</f>
        <v>1</v>
      </c>
      <c r="K151" s="43" t="n">
        <f aca="false">POISSON($A151,Model!$C$53,TRUE())</f>
        <v>1</v>
      </c>
      <c r="L151" s="43" t="n">
        <f aca="false">POISSON($A151,Model!$C$54,TRUE())</f>
        <v>1</v>
      </c>
      <c r="M151" s="43" t="n">
        <f aca="false">POISSON($A151,Model!$C$55,TRUE())</f>
        <v>1</v>
      </c>
      <c r="N151" s="43" t="n">
        <f aca="false">POISSON($A151,Model!$G$53,TRUE())</f>
        <v>1</v>
      </c>
      <c r="O151" s="43" t="n">
        <f aca="false">POISSON($A151,Model!$G$54,TRUE())</f>
        <v>1</v>
      </c>
      <c r="P151" s="43" t="n">
        <f aca="false">POISSON($A151,Model!$G$55,TRUE())</f>
        <v>1</v>
      </c>
    </row>
    <row r="152" customFormat="false" ht="15" hidden="false" customHeight="false" outlineLevel="0" collapsed="false">
      <c r="A152" s="7" t="n">
        <v>148</v>
      </c>
      <c r="B152" s="43" t="n">
        <f aca="false">POISSON($A152,Model!B$16,TRUE())</f>
        <v>1</v>
      </c>
      <c r="C152" s="43" t="n">
        <f aca="false">POISSON($A152,Model!C$16,TRUE())</f>
        <v>1</v>
      </c>
      <c r="D152" s="43" t="n">
        <f aca="false">POISSON($A152,Model!D$16,TRUE())</f>
        <v>1</v>
      </c>
      <c r="E152" s="43" t="n">
        <f aca="false">POISSON($A152,Model!E$16,TRUE())</f>
        <v>1</v>
      </c>
      <c r="H152" s="43" t="n">
        <f aca="false">POISSON($A152,Model!$C$46,TRUE())</f>
        <v>1</v>
      </c>
      <c r="I152" s="43" t="n">
        <f aca="false">POISSON($A152,Model!$C$47,TRUE())</f>
        <v>1</v>
      </c>
      <c r="J152" s="43" t="n">
        <f aca="false">POISSON($A152,Model!$C$48,TRUE())</f>
        <v>1</v>
      </c>
      <c r="K152" s="43" t="n">
        <f aca="false">POISSON($A152,Model!$C$53,TRUE())</f>
        <v>1</v>
      </c>
      <c r="L152" s="43" t="n">
        <f aca="false">POISSON($A152,Model!$C$54,TRUE())</f>
        <v>1</v>
      </c>
      <c r="M152" s="43" t="n">
        <f aca="false">POISSON($A152,Model!$C$55,TRUE())</f>
        <v>1</v>
      </c>
      <c r="N152" s="43" t="n">
        <f aca="false">POISSON($A152,Model!$G$53,TRUE())</f>
        <v>1</v>
      </c>
      <c r="O152" s="43" t="n">
        <f aca="false">POISSON($A152,Model!$G$54,TRUE())</f>
        <v>1</v>
      </c>
      <c r="P152" s="43" t="n">
        <f aca="false">POISSON($A152,Model!$G$55,TRUE())</f>
        <v>1</v>
      </c>
    </row>
    <row r="153" customFormat="false" ht="15" hidden="false" customHeight="false" outlineLevel="0" collapsed="false">
      <c r="A153" s="7" t="n">
        <v>149</v>
      </c>
      <c r="B153" s="43" t="n">
        <f aca="false">POISSON($A153,Model!B$16,TRUE())</f>
        <v>1</v>
      </c>
      <c r="C153" s="43" t="n">
        <f aca="false">POISSON($A153,Model!C$16,TRUE())</f>
        <v>1</v>
      </c>
      <c r="D153" s="43" t="n">
        <f aca="false">POISSON($A153,Model!D$16,TRUE())</f>
        <v>1</v>
      </c>
      <c r="E153" s="43" t="n">
        <f aca="false">POISSON($A153,Model!E$16,TRUE())</f>
        <v>1</v>
      </c>
      <c r="H153" s="43" t="n">
        <f aca="false">POISSON($A153,Model!$C$46,TRUE())</f>
        <v>1</v>
      </c>
      <c r="I153" s="43" t="n">
        <f aca="false">POISSON($A153,Model!$C$47,TRUE())</f>
        <v>1</v>
      </c>
      <c r="J153" s="43" t="n">
        <f aca="false">POISSON($A153,Model!$C$48,TRUE())</f>
        <v>1</v>
      </c>
      <c r="K153" s="43" t="n">
        <f aca="false">POISSON($A153,Model!$C$53,TRUE())</f>
        <v>1</v>
      </c>
      <c r="L153" s="43" t="n">
        <f aca="false">POISSON($A153,Model!$C$54,TRUE())</f>
        <v>1</v>
      </c>
      <c r="M153" s="43" t="n">
        <f aca="false">POISSON($A153,Model!$C$55,TRUE())</f>
        <v>1</v>
      </c>
      <c r="N153" s="43" t="n">
        <f aca="false">POISSON($A153,Model!$G$53,TRUE())</f>
        <v>1</v>
      </c>
      <c r="O153" s="43" t="n">
        <f aca="false">POISSON($A153,Model!$G$54,TRUE())</f>
        <v>1</v>
      </c>
      <c r="P153" s="43" t="n">
        <f aca="false">POISSON($A153,Model!$G$55,TRUE())</f>
        <v>1</v>
      </c>
    </row>
    <row r="154" customFormat="false" ht="15" hidden="false" customHeight="false" outlineLevel="0" collapsed="false">
      <c r="A154" s="7" t="n">
        <v>150</v>
      </c>
      <c r="B154" s="43" t="n">
        <f aca="false">POISSON($A154,Model!B$16,TRUE())</f>
        <v>1</v>
      </c>
      <c r="C154" s="43" t="n">
        <f aca="false">POISSON($A154,Model!C$16,TRUE())</f>
        <v>1</v>
      </c>
      <c r="D154" s="43" t="n">
        <f aca="false">POISSON($A154,Model!D$16,TRUE())</f>
        <v>1</v>
      </c>
      <c r="E154" s="43" t="n">
        <f aca="false">POISSON($A154,Model!E$16,TRUE())</f>
        <v>1</v>
      </c>
      <c r="H154" s="43" t="n">
        <f aca="false">POISSON($A154,Model!$C$46,TRUE())</f>
        <v>1</v>
      </c>
      <c r="I154" s="43" t="n">
        <f aca="false">POISSON($A154,Model!$C$47,TRUE())</f>
        <v>1</v>
      </c>
      <c r="J154" s="43" t="n">
        <f aca="false">POISSON($A154,Model!$C$48,TRUE())</f>
        <v>1</v>
      </c>
      <c r="K154" s="43" t="n">
        <f aca="false">POISSON($A154,Model!$C$53,TRUE())</f>
        <v>1</v>
      </c>
      <c r="L154" s="43" t="n">
        <f aca="false">POISSON($A154,Model!$C$54,TRUE())</f>
        <v>1</v>
      </c>
      <c r="M154" s="43" t="n">
        <f aca="false">POISSON($A154,Model!$C$55,TRUE())</f>
        <v>1</v>
      </c>
      <c r="N154" s="43" t="n">
        <f aca="false">POISSON($A154,Model!$G$53,TRUE())</f>
        <v>1</v>
      </c>
      <c r="O154" s="43" t="n">
        <f aca="false">POISSON($A154,Model!$G$54,TRUE())</f>
        <v>1</v>
      </c>
      <c r="P154" s="43" t="n">
        <f aca="false">POISSON($A154,Model!$G$55,TRUE())</f>
        <v>1</v>
      </c>
    </row>
    <row r="155" customFormat="false" ht="15" hidden="false" customHeight="false" outlineLevel="0" collapsed="false">
      <c r="A155" s="7" t="n">
        <v>151</v>
      </c>
      <c r="B155" s="43" t="n">
        <f aca="false">POISSON($A155,Model!B$16,TRUE())</f>
        <v>1</v>
      </c>
      <c r="C155" s="43" t="n">
        <f aca="false">POISSON($A155,Model!C$16,TRUE())</f>
        <v>1</v>
      </c>
      <c r="D155" s="43" t="n">
        <f aca="false">POISSON($A155,Model!D$16,TRUE())</f>
        <v>1</v>
      </c>
      <c r="E155" s="43" t="n">
        <f aca="false">POISSON($A155,Model!E$16,TRUE())</f>
        <v>1</v>
      </c>
      <c r="H155" s="43" t="n">
        <f aca="false">POISSON($A155,Model!$C$46,TRUE())</f>
        <v>1</v>
      </c>
      <c r="I155" s="43" t="n">
        <f aca="false">POISSON($A155,Model!$C$47,TRUE())</f>
        <v>1</v>
      </c>
      <c r="J155" s="43" t="n">
        <f aca="false">POISSON($A155,Model!$C$48,TRUE())</f>
        <v>1</v>
      </c>
      <c r="K155" s="43" t="n">
        <f aca="false">POISSON($A155,Model!$C$53,TRUE())</f>
        <v>1</v>
      </c>
      <c r="L155" s="43" t="n">
        <f aca="false">POISSON($A155,Model!$C$54,TRUE())</f>
        <v>1</v>
      </c>
      <c r="M155" s="43" t="n">
        <f aca="false">POISSON($A155,Model!$C$55,TRUE())</f>
        <v>1</v>
      </c>
      <c r="N155" s="43" t="n">
        <f aca="false">POISSON($A155,Model!$G$53,TRUE())</f>
        <v>1</v>
      </c>
      <c r="O155" s="43" t="n">
        <f aca="false">POISSON($A155,Model!$G$54,TRUE())</f>
        <v>1</v>
      </c>
      <c r="P155" s="43" t="n">
        <f aca="false">POISSON($A155,Model!$G$55,TRUE())</f>
        <v>1</v>
      </c>
    </row>
    <row r="156" customFormat="false" ht="15" hidden="false" customHeight="false" outlineLevel="0" collapsed="false">
      <c r="A156" s="7" t="n">
        <v>152</v>
      </c>
      <c r="B156" s="43" t="n">
        <f aca="false">POISSON($A156,Model!B$16,TRUE())</f>
        <v>1</v>
      </c>
      <c r="C156" s="43" t="n">
        <f aca="false">POISSON($A156,Model!C$16,TRUE())</f>
        <v>1</v>
      </c>
      <c r="D156" s="43" t="n">
        <f aca="false">POISSON($A156,Model!D$16,TRUE())</f>
        <v>1</v>
      </c>
      <c r="E156" s="43" t="n">
        <f aca="false">POISSON($A156,Model!E$16,TRUE())</f>
        <v>1</v>
      </c>
      <c r="H156" s="43" t="n">
        <f aca="false">POISSON($A156,Model!$C$46,TRUE())</f>
        <v>1</v>
      </c>
      <c r="I156" s="43" t="n">
        <f aca="false">POISSON($A156,Model!$C$47,TRUE())</f>
        <v>1</v>
      </c>
      <c r="J156" s="43" t="n">
        <f aca="false">POISSON($A156,Model!$C$48,TRUE())</f>
        <v>1</v>
      </c>
      <c r="K156" s="43" t="n">
        <f aca="false">POISSON($A156,Model!$C$53,TRUE())</f>
        <v>1</v>
      </c>
      <c r="L156" s="43" t="n">
        <f aca="false">POISSON($A156,Model!$C$54,TRUE())</f>
        <v>1</v>
      </c>
      <c r="M156" s="43" t="n">
        <f aca="false">POISSON($A156,Model!$C$55,TRUE())</f>
        <v>1</v>
      </c>
      <c r="N156" s="43" t="n">
        <f aca="false">POISSON($A156,Model!$G$53,TRUE())</f>
        <v>1</v>
      </c>
      <c r="O156" s="43" t="n">
        <f aca="false">POISSON($A156,Model!$G$54,TRUE())</f>
        <v>1</v>
      </c>
      <c r="P156" s="43" t="n">
        <f aca="false">POISSON($A156,Model!$G$55,TRUE())</f>
        <v>1</v>
      </c>
    </row>
    <row r="157" customFormat="false" ht="15" hidden="false" customHeight="false" outlineLevel="0" collapsed="false">
      <c r="A157" s="7" t="n">
        <v>153</v>
      </c>
      <c r="B157" s="43" t="n">
        <f aca="false">POISSON($A157,Model!B$16,TRUE())</f>
        <v>1</v>
      </c>
      <c r="C157" s="43" t="n">
        <f aca="false">POISSON($A157,Model!C$16,TRUE())</f>
        <v>1</v>
      </c>
      <c r="D157" s="43" t="n">
        <f aca="false">POISSON($A157,Model!D$16,TRUE())</f>
        <v>1</v>
      </c>
      <c r="E157" s="43" t="n">
        <f aca="false">POISSON($A157,Model!E$16,TRUE())</f>
        <v>1</v>
      </c>
      <c r="H157" s="43" t="n">
        <f aca="false">POISSON($A157,Model!$C$46,TRUE())</f>
        <v>1</v>
      </c>
      <c r="I157" s="43" t="n">
        <f aca="false">POISSON($A157,Model!$C$47,TRUE())</f>
        <v>1</v>
      </c>
      <c r="J157" s="43" t="n">
        <f aca="false">POISSON($A157,Model!$C$48,TRUE())</f>
        <v>1</v>
      </c>
      <c r="K157" s="43" t="n">
        <f aca="false">POISSON($A157,Model!$C$53,TRUE())</f>
        <v>1</v>
      </c>
      <c r="L157" s="43" t="n">
        <f aca="false">POISSON($A157,Model!$C$54,TRUE())</f>
        <v>1</v>
      </c>
      <c r="M157" s="43" t="n">
        <f aca="false">POISSON($A157,Model!$C$55,TRUE())</f>
        <v>1</v>
      </c>
      <c r="N157" s="43" t="n">
        <f aca="false">POISSON($A157,Model!$G$53,TRUE())</f>
        <v>1</v>
      </c>
      <c r="O157" s="43" t="n">
        <f aca="false">POISSON($A157,Model!$G$54,TRUE())</f>
        <v>1</v>
      </c>
      <c r="P157" s="43" t="n">
        <f aca="false">POISSON($A157,Model!$G$55,TRUE())</f>
        <v>1</v>
      </c>
    </row>
    <row r="158" customFormat="false" ht="15" hidden="false" customHeight="false" outlineLevel="0" collapsed="false">
      <c r="A158" s="7" t="n">
        <v>154</v>
      </c>
      <c r="B158" s="43" t="n">
        <f aca="false">POISSON($A158,Model!B$16,TRUE())</f>
        <v>1</v>
      </c>
      <c r="C158" s="43" t="n">
        <f aca="false">POISSON($A158,Model!C$16,TRUE())</f>
        <v>1</v>
      </c>
      <c r="D158" s="43" t="n">
        <f aca="false">POISSON($A158,Model!D$16,TRUE())</f>
        <v>1</v>
      </c>
      <c r="E158" s="43" t="n">
        <f aca="false">POISSON($A158,Model!E$16,TRUE())</f>
        <v>1</v>
      </c>
      <c r="H158" s="43" t="n">
        <f aca="false">POISSON($A158,Model!$C$46,TRUE())</f>
        <v>1</v>
      </c>
      <c r="I158" s="43" t="n">
        <f aca="false">POISSON($A158,Model!$C$47,TRUE())</f>
        <v>1</v>
      </c>
      <c r="J158" s="43" t="n">
        <f aca="false">POISSON($A158,Model!$C$48,TRUE())</f>
        <v>1</v>
      </c>
      <c r="K158" s="43" t="n">
        <f aca="false">POISSON($A158,Model!$C$53,TRUE())</f>
        <v>1</v>
      </c>
      <c r="L158" s="43" t="n">
        <f aca="false">POISSON($A158,Model!$C$54,TRUE())</f>
        <v>1</v>
      </c>
      <c r="M158" s="43" t="n">
        <f aca="false">POISSON($A158,Model!$C$55,TRUE())</f>
        <v>1</v>
      </c>
      <c r="N158" s="43" t="n">
        <f aca="false">POISSON($A158,Model!$G$53,TRUE())</f>
        <v>1</v>
      </c>
      <c r="O158" s="43" t="n">
        <f aca="false">POISSON($A158,Model!$G$54,TRUE())</f>
        <v>1</v>
      </c>
      <c r="P158" s="43" t="n">
        <f aca="false">POISSON($A158,Model!$G$55,TRUE())</f>
        <v>1</v>
      </c>
    </row>
    <row r="159" customFormat="false" ht="15" hidden="false" customHeight="false" outlineLevel="0" collapsed="false">
      <c r="A159" s="7" t="n">
        <v>155</v>
      </c>
      <c r="B159" s="43" t="n">
        <f aca="false">POISSON($A159,Model!B$16,TRUE())</f>
        <v>1</v>
      </c>
      <c r="C159" s="43" t="n">
        <f aca="false">POISSON($A159,Model!C$16,TRUE())</f>
        <v>1</v>
      </c>
      <c r="D159" s="43" t="n">
        <f aca="false">POISSON($A159,Model!D$16,TRUE())</f>
        <v>1</v>
      </c>
      <c r="E159" s="43" t="n">
        <f aca="false">POISSON($A159,Model!E$16,TRUE())</f>
        <v>1</v>
      </c>
      <c r="H159" s="43" t="n">
        <f aca="false">POISSON($A159,Model!$C$46,TRUE())</f>
        <v>1</v>
      </c>
      <c r="I159" s="43" t="n">
        <f aca="false">POISSON($A159,Model!$C$47,TRUE())</f>
        <v>1</v>
      </c>
      <c r="J159" s="43" t="n">
        <f aca="false">POISSON($A159,Model!$C$48,TRUE())</f>
        <v>1</v>
      </c>
      <c r="K159" s="43" t="n">
        <f aca="false">POISSON($A159,Model!$C$53,TRUE())</f>
        <v>1</v>
      </c>
      <c r="L159" s="43" t="n">
        <f aca="false">POISSON($A159,Model!$C$54,TRUE())</f>
        <v>1</v>
      </c>
      <c r="M159" s="43" t="n">
        <f aca="false">POISSON($A159,Model!$C$55,TRUE())</f>
        <v>1</v>
      </c>
      <c r="N159" s="43" t="n">
        <f aca="false">POISSON($A159,Model!$G$53,TRUE())</f>
        <v>1</v>
      </c>
      <c r="O159" s="43" t="n">
        <f aca="false">POISSON($A159,Model!$G$54,TRUE())</f>
        <v>1</v>
      </c>
      <c r="P159" s="43" t="n">
        <f aca="false">POISSON($A159,Model!$G$55,TRUE())</f>
        <v>1</v>
      </c>
    </row>
    <row r="160" customFormat="false" ht="15" hidden="false" customHeight="false" outlineLevel="0" collapsed="false">
      <c r="A160" s="7" t="n">
        <v>156</v>
      </c>
      <c r="B160" s="43" t="n">
        <f aca="false">POISSON($A160,Model!B$16,TRUE())</f>
        <v>1</v>
      </c>
      <c r="C160" s="43" t="n">
        <f aca="false">POISSON($A160,Model!C$16,TRUE())</f>
        <v>1</v>
      </c>
      <c r="D160" s="43" t="n">
        <f aca="false">POISSON($A160,Model!D$16,TRUE())</f>
        <v>1</v>
      </c>
      <c r="E160" s="43" t="n">
        <f aca="false">POISSON($A160,Model!E$16,TRUE())</f>
        <v>1</v>
      </c>
      <c r="H160" s="43" t="n">
        <f aca="false">POISSON($A160,Model!$C$46,TRUE())</f>
        <v>1</v>
      </c>
      <c r="I160" s="43" t="n">
        <f aca="false">POISSON($A160,Model!$C$47,TRUE())</f>
        <v>1</v>
      </c>
      <c r="J160" s="43" t="n">
        <f aca="false">POISSON($A160,Model!$C$48,TRUE())</f>
        <v>1</v>
      </c>
      <c r="K160" s="43" t="n">
        <f aca="false">POISSON($A160,Model!$C$53,TRUE())</f>
        <v>1</v>
      </c>
      <c r="L160" s="43" t="n">
        <f aca="false">POISSON($A160,Model!$C$54,TRUE())</f>
        <v>1</v>
      </c>
      <c r="M160" s="43" t="n">
        <f aca="false">POISSON($A160,Model!$C$55,TRUE())</f>
        <v>1</v>
      </c>
      <c r="N160" s="43" t="n">
        <f aca="false">POISSON($A160,Model!$G$53,TRUE())</f>
        <v>1</v>
      </c>
      <c r="O160" s="43" t="n">
        <f aca="false">POISSON($A160,Model!$G$54,TRUE())</f>
        <v>1</v>
      </c>
      <c r="P160" s="43" t="n">
        <f aca="false">POISSON($A160,Model!$G$55,TRUE())</f>
        <v>1</v>
      </c>
    </row>
    <row r="161" customFormat="false" ht="15" hidden="false" customHeight="false" outlineLevel="0" collapsed="false">
      <c r="A161" s="7" t="n">
        <v>157</v>
      </c>
      <c r="B161" s="43" t="n">
        <f aca="false">POISSON($A161,Model!B$16,TRUE())</f>
        <v>1</v>
      </c>
      <c r="C161" s="43" t="n">
        <f aca="false">POISSON($A161,Model!C$16,TRUE())</f>
        <v>1</v>
      </c>
      <c r="D161" s="43" t="n">
        <f aca="false">POISSON($A161,Model!D$16,TRUE())</f>
        <v>1</v>
      </c>
      <c r="E161" s="43" t="n">
        <f aca="false">POISSON($A161,Model!E$16,TRUE())</f>
        <v>1</v>
      </c>
      <c r="H161" s="43" t="n">
        <f aca="false">POISSON($A161,Model!$C$46,TRUE())</f>
        <v>1</v>
      </c>
      <c r="I161" s="43" t="n">
        <f aca="false">POISSON($A161,Model!$C$47,TRUE())</f>
        <v>1</v>
      </c>
      <c r="J161" s="43" t="n">
        <f aca="false">POISSON($A161,Model!$C$48,TRUE())</f>
        <v>1</v>
      </c>
      <c r="K161" s="43" t="n">
        <f aca="false">POISSON($A161,Model!$C$53,TRUE())</f>
        <v>1</v>
      </c>
      <c r="L161" s="43" t="n">
        <f aca="false">POISSON($A161,Model!$C$54,TRUE())</f>
        <v>1</v>
      </c>
      <c r="M161" s="43" t="n">
        <f aca="false">POISSON($A161,Model!$C$55,TRUE())</f>
        <v>1</v>
      </c>
      <c r="N161" s="43" t="n">
        <f aca="false">POISSON($A161,Model!$G$53,TRUE())</f>
        <v>1</v>
      </c>
      <c r="O161" s="43" t="n">
        <f aca="false">POISSON($A161,Model!$G$54,TRUE())</f>
        <v>1</v>
      </c>
      <c r="P161" s="43" t="n">
        <f aca="false">POISSON($A161,Model!$G$55,TRUE())</f>
        <v>1</v>
      </c>
    </row>
    <row r="162" customFormat="false" ht="15" hidden="false" customHeight="false" outlineLevel="0" collapsed="false">
      <c r="A162" s="7" t="n">
        <v>158</v>
      </c>
      <c r="B162" s="43" t="n">
        <f aca="false">POISSON($A162,Model!B$16,TRUE())</f>
        <v>1</v>
      </c>
      <c r="C162" s="43" t="n">
        <f aca="false">POISSON($A162,Model!C$16,TRUE())</f>
        <v>1</v>
      </c>
      <c r="D162" s="43" t="n">
        <f aca="false">POISSON($A162,Model!D$16,TRUE())</f>
        <v>1</v>
      </c>
      <c r="E162" s="43" t="n">
        <f aca="false">POISSON($A162,Model!E$16,TRUE())</f>
        <v>1</v>
      </c>
      <c r="H162" s="43" t="n">
        <f aca="false">POISSON($A162,Model!$C$46,TRUE())</f>
        <v>1</v>
      </c>
      <c r="I162" s="43" t="n">
        <f aca="false">POISSON($A162,Model!$C$47,TRUE())</f>
        <v>1</v>
      </c>
      <c r="J162" s="43" t="n">
        <f aca="false">POISSON($A162,Model!$C$48,TRUE())</f>
        <v>1</v>
      </c>
      <c r="K162" s="43" t="n">
        <f aca="false">POISSON($A162,Model!$C$53,TRUE())</f>
        <v>1</v>
      </c>
      <c r="L162" s="43" t="n">
        <f aca="false">POISSON($A162,Model!$C$54,TRUE())</f>
        <v>1</v>
      </c>
      <c r="M162" s="43" t="n">
        <f aca="false">POISSON($A162,Model!$C$55,TRUE())</f>
        <v>1</v>
      </c>
      <c r="N162" s="43" t="n">
        <f aca="false">POISSON($A162,Model!$G$53,TRUE())</f>
        <v>1</v>
      </c>
      <c r="O162" s="43" t="n">
        <f aca="false">POISSON($A162,Model!$G$54,TRUE())</f>
        <v>1</v>
      </c>
      <c r="P162" s="43" t="n">
        <f aca="false">POISSON($A162,Model!$G$55,TRUE())</f>
        <v>1</v>
      </c>
    </row>
    <row r="163" customFormat="false" ht="15" hidden="false" customHeight="false" outlineLevel="0" collapsed="false">
      <c r="A163" s="7" t="n">
        <v>159</v>
      </c>
      <c r="B163" s="43" t="n">
        <f aca="false">POISSON($A163,Model!B$16,TRUE())</f>
        <v>1</v>
      </c>
      <c r="C163" s="43" t="n">
        <f aca="false">POISSON($A163,Model!C$16,TRUE())</f>
        <v>1</v>
      </c>
      <c r="D163" s="43" t="n">
        <f aca="false">POISSON($A163,Model!D$16,TRUE())</f>
        <v>1</v>
      </c>
      <c r="E163" s="43" t="n">
        <f aca="false">POISSON($A163,Model!E$16,TRUE())</f>
        <v>1</v>
      </c>
      <c r="H163" s="43" t="n">
        <f aca="false">POISSON($A163,Model!$C$46,TRUE())</f>
        <v>1</v>
      </c>
      <c r="I163" s="43" t="n">
        <f aca="false">POISSON($A163,Model!$C$47,TRUE())</f>
        <v>1</v>
      </c>
      <c r="J163" s="43" t="n">
        <f aca="false">POISSON($A163,Model!$C$48,TRUE())</f>
        <v>1</v>
      </c>
      <c r="K163" s="43" t="n">
        <f aca="false">POISSON($A163,Model!$C$53,TRUE())</f>
        <v>1</v>
      </c>
      <c r="L163" s="43" t="n">
        <f aca="false">POISSON($A163,Model!$C$54,TRUE())</f>
        <v>1</v>
      </c>
      <c r="M163" s="43" t="n">
        <f aca="false">POISSON($A163,Model!$C$55,TRUE())</f>
        <v>1</v>
      </c>
      <c r="N163" s="43" t="n">
        <f aca="false">POISSON($A163,Model!$G$53,TRUE())</f>
        <v>1</v>
      </c>
      <c r="O163" s="43" t="n">
        <f aca="false">POISSON($A163,Model!$G$54,TRUE())</f>
        <v>1</v>
      </c>
      <c r="P163" s="43" t="n">
        <f aca="false">POISSON($A163,Model!$G$55,TRUE())</f>
        <v>1</v>
      </c>
    </row>
    <row r="164" customFormat="false" ht="15" hidden="false" customHeight="false" outlineLevel="0" collapsed="false">
      <c r="A164" s="7" t="n">
        <v>160</v>
      </c>
      <c r="B164" s="43" t="n">
        <f aca="false">POISSON($A164,Model!B$16,TRUE())</f>
        <v>1</v>
      </c>
      <c r="C164" s="43" t="n">
        <f aca="false">POISSON($A164,Model!C$16,TRUE())</f>
        <v>1</v>
      </c>
      <c r="D164" s="43" t="n">
        <f aca="false">POISSON($A164,Model!D$16,TRUE())</f>
        <v>1</v>
      </c>
      <c r="E164" s="43" t="n">
        <f aca="false">POISSON($A164,Model!E$16,TRUE())</f>
        <v>1</v>
      </c>
      <c r="H164" s="43" t="n">
        <f aca="false">POISSON($A164,Model!$C$46,TRUE())</f>
        <v>1</v>
      </c>
      <c r="I164" s="43" t="n">
        <f aca="false">POISSON($A164,Model!$C$47,TRUE())</f>
        <v>1</v>
      </c>
      <c r="J164" s="43" t="n">
        <f aca="false">POISSON($A164,Model!$C$48,TRUE())</f>
        <v>1</v>
      </c>
      <c r="K164" s="43" t="n">
        <f aca="false">POISSON($A164,Model!$C$53,TRUE())</f>
        <v>1</v>
      </c>
      <c r="L164" s="43" t="n">
        <f aca="false">POISSON($A164,Model!$C$54,TRUE())</f>
        <v>1</v>
      </c>
      <c r="M164" s="43" t="n">
        <f aca="false">POISSON($A164,Model!$C$55,TRUE())</f>
        <v>1</v>
      </c>
      <c r="N164" s="43" t="n">
        <f aca="false">POISSON($A164,Model!$G$53,TRUE())</f>
        <v>1</v>
      </c>
      <c r="O164" s="43" t="n">
        <f aca="false">POISSON($A164,Model!$G$54,TRUE())</f>
        <v>1</v>
      </c>
      <c r="P164" s="43" t="n">
        <f aca="false">POISSON($A164,Model!$G$55,TRUE())</f>
        <v>1</v>
      </c>
    </row>
    <row r="165" customFormat="false" ht="15" hidden="false" customHeight="false" outlineLevel="0" collapsed="false">
      <c r="A165" s="7" t="n">
        <v>161</v>
      </c>
      <c r="B165" s="43" t="n">
        <f aca="false">POISSON($A165,Model!B$16,TRUE())</f>
        <v>1</v>
      </c>
      <c r="C165" s="43" t="n">
        <f aca="false">POISSON($A165,Model!C$16,TRUE())</f>
        <v>1</v>
      </c>
      <c r="D165" s="43" t="n">
        <f aca="false">POISSON($A165,Model!D$16,TRUE())</f>
        <v>1</v>
      </c>
      <c r="E165" s="43" t="n">
        <f aca="false">POISSON($A165,Model!E$16,TRUE())</f>
        <v>1</v>
      </c>
      <c r="H165" s="43" t="n">
        <f aca="false">POISSON($A165,Model!$C$46,TRUE())</f>
        <v>1</v>
      </c>
      <c r="I165" s="43" t="n">
        <f aca="false">POISSON($A165,Model!$C$47,TRUE())</f>
        <v>1</v>
      </c>
      <c r="J165" s="43" t="n">
        <f aca="false">POISSON($A165,Model!$C$48,TRUE())</f>
        <v>1</v>
      </c>
      <c r="K165" s="43" t="n">
        <f aca="false">POISSON($A165,Model!$C$53,TRUE())</f>
        <v>1</v>
      </c>
      <c r="L165" s="43" t="n">
        <f aca="false">POISSON($A165,Model!$C$54,TRUE())</f>
        <v>1</v>
      </c>
      <c r="M165" s="43" t="n">
        <f aca="false">POISSON($A165,Model!$C$55,TRUE())</f>
        <v>1</v>
      </c>
      <c r="N165" s="43" t="n">
        <f aca="false">POISSON($A165,Model!$G$53,TRUE())</f>
        <v>1</v>
      </c>
      <c r="O165" s="43" t="n">
        <f aca="false">POISSON($A165,Model!$G$54,TRUE())</f>
        <v>1</v>
      </c>
      <c r="P165" s="43" t="n">
        <f aca="false">POISSON($A165,Model!$G$55,TRUE())</f>
        <v>1</v>
      </c>
    </row>
    <row r="166" customFormat="false" ht="15" hidden="false" customHeight="false" outlineLevel="0" collapsed="false">
      <c r="A166" s="7" t="n">
        <v>162</v>
      </c>
      <c r="B166" s="43" t="n">
        <f aca="false">POISSON($A166,Model!B$16,TRUE())</f>
        <v>1</v>
      </c>
      <c r="C166" s="43" t="n">
        <f aca="false">POISSON($A166,Model!C$16,TRUE())</f>
        <v>1</v>
      </c>
      <c r="D166" s="43" t="n">
        <f aca="false">POISSON($A166,Model!D$16,TRUE())</f>
        <v>1</v>
      </c>
      <c r="E166" s="43" t="n">
        <f aca="false">POISSON($A166,Model!E$16,TRUE())</f>
        <v>1</v>
      </c>
      <c r="H166" s="43" t="n">
        <f aca="false">POISSON($A166,Model!$C$46,TRUE())</f>
        <v>1</v>
      </c>
      <c r="I166" s="43" t="n">
        <f aca="false">POISSON($A166,Model!$C$47,TRUE())</f>
        <v>1</v>
      </c>
      <c r="J166" s="43" t="n">
        <f aca="false">POISSON($A166,Model!$C$48,TRUE())</f>
        <v>1</v>
      </c>
      <c r="K166" s="43" t="n">
        <f aca="false">POISSON($A166,Model!$C$53,TRUE())</f>
        <v>1</v>
      </c>
      <c r="L166" s="43" t="n">
        <f aca="false">POISSON($A166,Model!$C$54,TRUE())</f>
        <v>1</v>
      </c>
      <c r="M166" s="43" t="n">
        <f aca="false">POISSON($A166,Model!$C$55,TRUE())</f>
        <v>1</v>
      </c>
      <c r="N166" s="43" t="n">
        <f aca="false">POISSON($A166,Model!$G$53,TRUE())</f>
        <v>1</v>
      </c>
      <c r="O166" s="43" t="n">
        <f aca="false">POISSON($A166,Model!$G$54,TRUE())</f>
        <v>1</v>
      </c>
      <c r="P166" s="43" t="n">
        <f aca="false">POISSON($A166,Model!$G$55,TRUE())</f>
        <v>1</v>
      </c>
    </row>
    <row r="167" customFormat="false" ht="15" hidden="false" customHeight="false" outlineLevel="0" collapsed="false">
      <c r="A167" s="7" t="n">
        <v>163</v>
      </c>
      <c r="B167" s="43" t="n">
        <f aca="false">POISSON($A167,Model!B$16,TRUE())</f>
        <v>1</v>
      </c>
      <c r="C167" s="43" t="n">
        <f aca="false">POISSON($A167,Model!C$16,TRUE())</f>
        <v>1</v>
      </c>
      <c r="D167" s="43" t="n">
        <f aca="false">POISSON($A167,Model!D$16,TRUE())</f>
        <v>1</v>
      </c>
      <c r="E167" s="43" t="n">
        <f aca="false">POISSON($A167,Model!E$16,TRUE())</f>
        <v>1</v>
      </c>
      <c r="H167" s="43" t="n">
        <f aca="false">POISSON($A167,Model!$C$46,TRUE())</f>
        <v>1</v>
      </c>
      <c r="I167" s="43" t="n">
        <f aca="false">POISSON($A167,Model!$C$47,TRUE())</f>
        <v>1</v>
      </c>
      <c r="J167" s="43" t="n">
        <f aca="false">POISSON($A167,Model!$C$48,TRUE())</f>
        <v>1</v>
      </c>
      <c r="K167" s="43" t="n">
        <f aca="false">POISSON($A167,Model!$C$53,TRUE())</f>
        <v>1</v>
      </c>
      <c r="L167" s="43" t="n">
        <f aca="false">POISSON($A167,Model!$C$54,TRUE())</f>
        <v>1</v>
      </c>
      <c r="M167" s="43" t="n">
        <f aca="false">POISSON($A167,Model!$C$55,TRUE())</f>
        <v>1</v>
      </c>
      <c r="N167" s="43" t="n">
        <f aca="false">POISSON($A167,Model!$G$53,TRUE())</f>
        <v>1</v>
      </c>
      <c r="O167" s="43" t="n">
        <f aca="false">POISSON($A167,Model!$G$54,TRUE())</f>
        <v>1</v>
      </c>
      <c r="P167" s="43" t="n">
        <f aca="false">POISSON($A167,Model!$G$55,TRUE())</f>
        <v>1</v>
      </c>
    </row>
    <row r="168" customFormat="false" ht="15" hidden="false" customHeight="false" outlineLevel="0" collapsed="false">
      <c r="A168" s="7" t="n">
        <v>164</v>
      </c>
      <c r="B168" s="43" t="n">
        <f aca="false">POISSON($A168,Model!B$16,TRUE())</f>
        <v>1</v>
      </c>
      <c r="C168" s="43" t="n">
        <f aca="false">POISSON($A168,Model!C$16,TRUE())</f>
        <v>1</v>
      </c>
      <c r="D168" s="43" t="n">
        <f aca="false">POISSON($A168,Model!D$16,TRUE())</f>
        <v>1</v>
      </c>
      <c r="E168" s="43" t="n">
        <f aca="false">POISSON($A168,Model!E$16,TRUE())</f>
        <v>1</v>
      </c>
      <c r="H168" s="43" t="n">
        <f aca="false">POISSON($A168,Model!$C$46,TRUE())</f>
        <v>1</v>
      </c>
      <c r="I168" s="43" t="n">
        <f aca="false">POISSON($A168,Model!$C$47,TRUE())</f>
        <v>1</v>
      </c>
      <c r="J168" s="43" t="n">
        <f aca="false">POISSON($A168,Model!$C$48,TRUE())</f>
        <v>1</v>
      </c>
      <c r="K168" s="43" t="n">
        <f aca="false">POISSON($A168,Model!$C$53,TRUE())</f>
        <v>1</v>
      </c>
      <c r="L168" s="43" t="n">
        <f aca="false">POISSON($A168,Model!$C$54,TRUE())</f>
        <v>1</v>
      </c>
      <c r="M168" s="43" t="n">
        <f aca="false">POISSON($A168,Model!$C$55,TRUE())</f>
        <v>1</v>
      </c>
      <c r="N168" s="43" t="n">
        <f aca="false">POISSON($A168,Model!$G$53,TRUE())</f>
        <v>1</v>
      </c>
      <c r="O168" s="43" t="n">
        <f aca="false">POISSON($A168,Model!$G$54,TRUE())</f>
        <v>1</v>
      </c>
      <c r="P168" s="43" t="n">
        <f aca="false">POISSON($A168,Model!$G$55,TRUE())</f>
        <v>1</v>
      </c>
    </row>
    <row r="169" customFormat="false" ht="15" hidden="false" customHeight="false" outlineLevel="0" collapsed="false">
      <c r="A169" s="7" t="n">
        <v>165</v>
      </c>
      <c r="B169" s="43" t="n">
        <f aca="false">POISSON($A169,Model!B$16,TRUE())</f>
        <v>1</v>
      </c>
      <c r="C169" s="43" t="n">
        <f aca="false">POISSON($A169,Model!C$16,TRUE())</f>
        <v>1</v>
      </c>
      <c r="D169" s="43" t="n">
        <f aca="false">POISSON($A169,Model!D$16,TRUE())</f>
        <v>1</v>
      </c>
      <c r="E169" s="43" t="n">
        <f aca="false">POISSON($A169,Model!E$16,TRUE())</f>
        <v>1</v>
      </c>
      <c r="H169" s="43" t="n">
        <f aca="false">POISSON($A169,Model!$C$46,TRUE())</f>
        <v>1</v>
      </c>
      <c r="I169" s="43" t="n">
        <f aca="false">POISSON($A169,Model!$C$47,TRUE())</f>
        <v>1</v>
      </c>
      <c r="J169" s="43" t="n">
        <f aca="false">POISSON($A169,Model!$C$48,TRUE())</f>
        <v>1</v>
      </c>
      <c r="K169" s="43" t="n">
        <f aca="false">POISSON($A169,Model!$C$53,TRUE())</f>
        <v>1</v>
      </c>
      <c r="L169" s="43" t="n">
        <f aca="false">POISSON($A169,Model!$C$54,TRUE())</f>
        <v>1</v>
      </c>
      <c r="M169" s="43" t="n">
        <f aca="false">POISSON($A169,Model!$C$55,TRUE())</f>
        <v>1</v>
      </c>
      <c r="N169" s="43" t="n">
        <f aca="false">POISSON($A169,Model!$G$53,TRUE())</f>
        <v>1</v>
      </c>
      <c r="O169" s="43" t="n">
        <f aca="false">POISSON($A169,Model!$G$54,TRUE())</f>
        <v>1</v>
      </c>
      <c r="P169" s="43" t="n">
        <f aca="false">POISSON($A169,Model!$G$55,TRUE())</f>
        <v>1</v>
      </c>
    </row>
    <row r="170" customFormat="false" ht="15" hidden="false" customHeight="false" outlineLevel="0" collapsed="false">
      <c r="A170" s="7" t="n">
        <v>166</v>
      </c>
      <c r="B170" s="43" t="n">
        <f aca="false">POISSON($A170,Model!B$16,TRUE())</f>
        <v>1</v>
      </c>
      <c r="C170" s="43" t="n">
        <f aca="false">POISSON($A170,Model!C$16,TRUE())</f>
        <v>1</v>
      </c>
      <c r="D170" s="43" t="n">
        <f aca="false">POISSON($A170,Model!D$16,TRUE())</f>
        <v>1</v>
      </c>
      <c r="E170" s="43" t="n">
        <f aca="false">POISSON($A170,Model!E$16,TRUE())</f>
        <v>1</v>
      </c>
      <c r="H170" s="43" t="n">
        <f aca="false">POISSON($A170,Model!$C$46,TRUE())</f>
        <v>1</v>
      </c>
      <c r="I170" s="43" t="n">
        <f aca="false">POISSON($A170,Model!$C$47,TRUE())</f>
        <v>1</v>
      </c>
      <c r="J170" s="43" t="n">
        <f aca="false">POISSON($A170,Model!$C$48,TRUE())</f>
        <v>1</v>
      </c>
      <c r="K170" s="43" t="n">
        <f aca="false">POISSON($A170,Model!$C$53,TRUE())</f>
        <v>1</v>
      </c>
      <c r="L170" s="43" t="n">
        <f aca="false">POISSON($A170,Model!$C$54,TRUE())</f>
        <v>1</v>
      </c>
      <c r="M170" s="43" t="n">
        <f aca="false">POISSON($A170,Model!$C$55,TRUE())</f>
        <v>1</v>
      </c>
      <c r="N170" s="43" t="n">
        <f aca="false">POISSON($A170,Model!$G$53,TRUE())</f>
        <v>1</v>
      </c>
      <c r="O170" s="43" t="n">
        <f aca="false">POISSON($A170,Model!$G$54,TRUE())</f>
        <v>1</v>
      </c>
      <c r="P170" s="43" t="n">
        <f aca="false">POISSON($A170,Model!$G$55,TRUE())</f>
        <v>1</v>
      </c>
    </row>
    <row r="171" customFormat="false" ht="15" hidden="false" customHeight="false" outlineLevel="0" collapsed="false">
      <c r="A171" s="7" t="n">
        <v>167</v>
      </c>
      <c r="B171" s="43" t="n">
        <f aca="false">POISSON($A171,Model!B$16,TRUE())</f>
        <v>1</v>
      </c>
      <c r="C171" s="43" t="n">
        <f aca="false">POISSON($A171,Model!C$16,TRUE())</f>
        <v>1</v>
      </c>
      <c r="D171" s="43" t="n">
        <f aca="false">POISSON($A171,Model!D$16,TRUE())</f>
        <v>1</v>
      </c>
      <c r="E171" s="43" t="n">
        <f aca="false">POISSON($A171,Model!E$16,TRUE())</f>
        <v>1</v>
      </c>
      <c r="H171" s="43" t="n">
        <f aca="false">POISSON($A171,Model!$C$46,TRUE())</f>
        <v>1</v>
      </c>
      <c r="I171" s="43" t="n">
        <f aca="false">POISSON($A171,Model!$C$47,TRUE())</f>
        <v>1</v>
      </c>
      <c r="J171" s="43" t="n">
        <f aca="false">POISSON($A171,Model!$C$48,TRUE())</f>
        <v>1</v>
      </c>
      <c r="K171" s="43" t="n">
        <f aca="false">POISSON($A171,Model!$C$53,TRUE())</f>
        <v>1</v>
      </c>
      <c r="L171" s="43" t="n">
        <f aca="false">POISSON($A171,Model!$C$54,TRUE())</f>
        <v>1</v>
      </c>
      <c r="M171" s="43" t="n">
        <f aca="false">POISSON($A171,Model!$C$55,TRUE())</f>
        <v>1</v>
      </c>
      <c r="N171" s="43" t="n">
        <f aca="false">POISSON($A171,Model!$G$53,TRUE())</f>
        <v>1</v>
      </c>
      <c r="O171" s="43" t="n">
        <f aca="false">POISSON($A171,Model!$G$54,TRUE())</f>
        <v>1</v>
      </c>
      <c r="P171" s="43" t="n">
        <f aca="false">POISSON($A171,Model!$G$55,TRUE())</f>
        <v>1</v>
      </c>
    </row>
    <row r="172" customFormat="false" ht="15" hidden="false" customHeight="false" outlineLevel="0" collapsed="false">
      <c r="A172" s="7" t="n">
        <v>168</v>
      </c>
      <c r="B172" s="43" t="n">
        <f aca="false">POISSON($A172,Model!B$16,TRUE())</f>
        <v>1</v>
      </c>
      <c r="C172" s="43" t="n">
        <f aca="false">POISSON($A172,Model!C$16,TRUE())</f>
        <v>1</v>
      </c>
      <c r="D172" s="43" t="n">
        <f aca="false">POISSON($A172,Model!D$16,TRUE())</f>
        <v>1</v>
      </c>
      <c r="E172" s="43" t="n">
        <f aca="false">POISSON($A172,Model!E$16,TRUE())</f>
        <v>1</v>
      </c>
      <c r="H172" s="43" t="n">
        <f aca="false">POISSON($A172,Model!$C$46,TRUE())</f>
        <v>1</v>
      </c>
      <c r="I172" s="43" t="n">
        <f aca="false">POISSON($A172,Model!$C$47,TRUE())</f>
        <v>1</v>
      </c>
      <c r="J172" s="43" t="n">
        <f aca="false">POISSON($A172,Model!$C$48,TRUE())</f>
        <v>1</v>
      </c>
      <c r="K172" s="43" t="n">
        <f aca="false">POISSON($A172,Model!$C$53,TRUE())</f>
        <v>1</v>
      </c>
      <c r="L172" s="43" t="n">
        <f aca="false">POISSON($A172,Model!$C$54,TRUE())</f>
        <v>1</v>
      </c>
      <c r="M172" s="43" t="n">
        <f aca="false">POISSON($A172,Model!$C$55,TRUE())</f>
        <v>1</v>
      </c>
      <c r="N172" s="43" t="n">
        <f aca="false">POISSON($A172,Model!$G$53,TRUE())</f>
        <v>1</v>
      </c>
      <c r="O172" s="43" t="n">
        <f aca="false">POISSON($A172,Model!$G$54,TRUE())</f>
        <v>1</v>
      </c>
      <c r="P172" s="43" t="n">
        <f aca="false">POISSON($A172,Model!$G$55,TRUE())</f>
        <v>1</v>
      </c>
    </row>
    <row r="173" customFormat="false" ht="15" hidden="false" customHeight="false" outlineLevel="0" collapsed="false">
      <c r="A173" s="7" t="n">
        <v>169</v>
      </c>
      <c r="B173" s="43" t="n">
        <f aca="false">POISSON($A173,Model!B$16,TRUE())</f>
        <v>1</v>
      </c>
      <c r="C173" s="43" t="n">
        <f aca="false">POISSON($A173,Model!C$16,TRUE())</f>
        <v>1</v>
      </c>
      <c r="D173" s="43" t="n">
        <f aca="false">POISSON($A173,Model!D$16,TRUE())</f>
        <v>1</v>
      </c>
      <c r="E173" s="43" t="n">
        <f aca="false">POISSON($A173,Model!E$16,TRUE())</f>
        <v>1</v>
      </c>
      <c r="H173" s="43" t="n">
        <f aca="false">POISSON($A173,Model!$C$46,TRUE())</f>
        <v>1</v>
      </c>
      <c r="I173" s="43" t="n">
        <f aca="false">POISSON($A173,Model!$C$47,TRUE())</f>
        <v>1</v>
      </c>
      <c r="J173" s="43" t="n">
        <f aca="false">POISSON($A173,Model!$C$48,TRUE())</f>
        <v>1</v>
      </c>
      <c r="K173" s="43" t="n">
        <f aca="false">POISSON($A173,Model!$C$53,TRUE())</f>
        <v>1</v>
      </c>
      <c r="L173" s="43" t="n">
        <f aca="false">POISSON($A173,Model!$C$54,TRUE())</f>
        <v>1</v>
      </c>
      <c r="M173" s="43" t="n">
        <f aca="false">POISSON($A173,Model!$C$55,TRUE())</f>
        <v>1</v>
      </c>
      <c r="N173" s="43" t="n">
        <f aca="false">POISSON($A173,Model!$G$53,TRUE())</f>
        <v>1</v>
      </c>
      <c r="O173" s="43" t="n">
        <f aca="false">POISSON($A173,Model!$G$54,TRUE())</f>
        <v>1</v>
      </c>
      <c r="P173" s="43" t="n">
        <f aca="false">POISSON($A173,Model!$G$55,TRUE())</f>
        <v>1</v>
      </c>
    </row>
    <row r="174" customFormat="false" ht="15" hidden="false" customHeight="false" outlineLevel="0" collapsed="false">
      <c r="A174" s="7" t="n">
        <v>170</v>
      </c>
      <c r="B174" s="43" t="n">
        <f aca="false">POISSON($A174,Model!B$16,TRUE())</f>
        <v>1</v>
      </c>
      <c r="C174" s="43" t="n">
        <f aca="false">POISSON($A174,Model!C$16,TRUE())</f>
        <v>1</v>
      </c>
      <c r="D174" s="43" t="n">
        <f aca="false">POISSON($A174,Model!D$16,TRUE())</f>
        <v>1</v>
      </c>
      <c r="E174" s="43" t="n">
        <f aca="false">POISSON($A174,Model!E$16,TRUE())</f>
        <v>1</v>
      </c>
      <c r="H174" s="43" t="n">
        <f aca="false">POISSON($A174,Model!$C$46,TRUE())</f>
        <v>1</v>
      </c>
      <c r="I174" s="43" t="n">
        <f aca="false">POISSON($A174,Model!$C$47,TRUE())</f>
        <v>1</v>
      </c>
      <c r="J174" s="43" t="n">
        <f aca="false">POISSON($A174,Model!$C$48,TRUE())</f>
        <v>1</v>
      </c>
      <c r="K174" s="43" t="n">
        <f aca="false">POISSON($A174,Model!$C$53,TRUE())</f>
        <v>1</v>
      </c>
      <c r="L174" s="43" t="n">
        <f aca="false">POISSON($A174,Model!$C$54,TRUE())</f>
        <v>1</v>
      </c>
      <c r="M174" s="43" t="n">
        <f aca="false">POISSON($A174,Model!$C$55,TRUE())</f>
        <v>1</v>
      </c>
      <c r="N174" s="43" t="n">
        <f aca="false">POISSON($A174,Model!$G$53,TRUE())</f>
        <v>1</v>
      </c>
      <c r="O174" s="43" t="n">
        <f aca="false">POISSON($A174,Model!$G$54,TRUE())</f>
        <v>1</v>
      </c>
      <c r="P174" s="43" t="n">
        <f aca="false">POISSON($A174,Model!$G$55,TRUE())</f>
        <v>1</v>
      </c>
    </row>
    <row r="175" customFormat="false" ht="15" hidden="false" customHeight="false" outlineLevel="0" collapsed="false">
      <c r="A175" s="7" t="n">
        <v>171</v>
      </c>
      <c r="B175" s="43" t="n">
        <f aca="false">POISSON($A175,Model!B$16,TRUE())</f>
        <v>1</v>
      </c>
      <c r="C175" s="43" t="n">
        <f aca="false">POISSON($A175,Model!C$16,TRUE())</f>
        <v>1</v>
      </c>
      <c r="D175" s="43" t="n">
        <f aca="false">POISSON($A175,Model!D$16,TRUE())</f>
        <v>1</v>
      </c>
      <c r="E175" s="43" t="n">
        <f aca="false">POISSON($A175,Model!E$16,TRUE())</f>
        <v>1</v>
      </c>
      <c r="H175" s="43" t="n">
        <f aca="false">POISSON($A175,Model!$C$46,TRUE())</f>
        <v>1</v>
      </c>
      <c r="I175" s="43" t="n">
        <f aca="false">POISSON($A175,Model!$C$47,TRUE())</f>
        <v>1</v>
      </c>
      <c r="J175" s="43" t="n">
        <f aca="false">POISSON($A175,Model!$C$48,TRUE())</f>
        <v>1</v>
      </c>
      <c r="K175" s="43" t="n">
        <f aca="false">POISSON($A175,Model!$C$53,TRUE())</f>
        <v>1</v>
      </c>
      <c r="L175" s="43" t="n">
        <f aca="false">POISSON($A175,Model!$C$54,TRUE())</f>
        <v>1</v>
      </c>
      <c r="M175" s="43" t="n">
        <f aca="false">POISSON($A175,Model!$C$55,TRUE())</f>
        <v>1</v>
      </c>
      <c r="N175" s="43" t="n">
        <f aca="false">POISSON($A175,Model!$G$53,TRUE())</f>
        <v>1</v>
      </c>
      <c r="O175" s="43" t="n">
        <f aca="false">POISSON($A175,Model!$G$54,TRUE())</f>
        <v>1</v>
      </c>
      <c r="P175" s="43" t="n">
        <f aca="false">POISSON($A175,Model!$G$55,TRUE())</f>
        <v>1</v>
      </c>
    </row>
    <row r="176" customFormat="false" ht="15" hidden="false" customHeight="false" outlineLevel="0" collapsed="false">
      <c r="A176" s="7" t="n">
        <v>172</v>
      </c>
      <c r="B176" s="43" t="n">
        <f aca="false">POISSON($A176,Model!B$16,TRUE())</f>
        <v>1</v>
      </c>
      <c r="C176" s="43" t="n">
        <f aca="false">POISSON($A176,Model!C$16,TRUE())</f>
        <v>1</v>
      </c>
      <c r="D176" s="43" t="n">
        <f aca="false">POISSON($A176,Model!D$16,TRUE())</f>
        <v>1</v>
      </c>
      <c r="E176" s="43" t="n">
        <f aca="false">POISSON($A176,Model!E$16,TRUE())</f>
        <v>1</v>
      </c>
      <c r="H176" s="43" t="n">
        <f aca="false">POISSON($A176,Model!$C$46,TRUE())</f>
        <v>1</v>
      </c>
      <c r="I176" s="43" t="n">
        <f aca="false">POISSON($A176,Model!$C$47,TRUE())</f>
        <v>1</v>
      </c>
      <c r="J176" s="43" t="n">
        <f aca="false">POISSON($A176,Model!$C$48,TRUE())</f>
        <v>1</v>
      </c>
      <c r="K176" s="43" t="n">
        <f aca="false">POISSON($A176,Model!$C$53,TRUE())</f>
        <v>1</v>
      </c>
      <c r="L176" s="43" t="n">
        <f aca="false">POISSON($A176,Model!$C$54,TRUE())</f>
        <v>1</v>
      </c>
      <c r="M176" s="43" t="n">
        <f aca="false">POISSON($A176,Model!$C$55,TRUE())</f>
        <v>1</v>
      </c>
      <c r="N176" s="43" t="n">
        <f aca="false">POISSON($A176,Model!$G$53,TRUE())</f>
        <v>1</v>
      </c>
      <c r="O176" s="43" t="n">
        <f aca="false">POISSON($A176,Model!$G$54,TRUE())</f>
        <v>1</v>
      </c>
      <c r="P176" s="43" t="n">
        <f aca="false">POISSON($A176,Model!$G$55,TRUE())</f>
        <v>1</v>
      </c>
    </row>
    <row r="177" customFormat="false" ht="15" hidden="false" customHeight="false" outlineLevel="0" collapsed="false">
      <c r="A177" s="7" t="n">
        <v>173</v>
      </c>
      <c r="B177" s="43" t="n">
        <f aca="false">POISSON($A177,Model!B$16,TRUE())</f>
        <v>1</v>
      </c>
      <c r="C177" s="43" t="n">
        <f aca="false">POISSON($A177,Model!C$16,TRUE())</f>
        <v>1</v>
      </c>
      <c r="D177" s="43" t="n">
        <f aca="false">POISSON($A177,Model!D$16,TRUE())</f>
        <v>1</v>
      </c>
      <c r="E177" s="43" t="n">
        <f aca="false">POISSON($A177,Model!E$16,TRUE())</f>
        <v>1</v>
      </c>
      <c r="H177" s="43" t="n">
        <f aca="false">POISSON($A177,Model!$C$46,TRUE())</f>
        <v>1</v>
      </c>
      <c r="I177" s="43" t="n">
        <f aca="false">POISSON($A177,Model!$C$47,TRUE())</f>
        <v>1</v>
      </c>
      <c r="J177" s="43" t="n">
        <f aca="false">POISSON($A177,Model!$C$48,TRUE())</f>
        <v>1</v>
      </c>
      <c r="K177" s="43" t="n">
        <f aca="false">POISSON($A177,Model!$C$53,TRUE())</f>
        <v>1</v>
      </c>
      <c r="L177" s="43" t="n">
        <f aca="false">POISSON($A177,Model!$C$54,TRUE())</f>
        <v>1</v>
      </c>
      <c r="M177" s="43" t="n">
        <f aca="false">POISSON($A177,Model!$C$55,TRUE())</f>
        <v>1</v>
      </c>
      <c r="N177" s="43" t="n">
        <f aca="false">POISSON($A177,Model!$G$53,TRUE())</f>
        <v>1</v>
      </c>
      <c r="O177" s="43" t="n">
        <f aca="false">POISSON($A177,Model!$G$54,TRUE())</f>
        <v>1</v>
      </c>
      <c r="P177" s="43" t="n">
        <f aca="false">POISSON($A177,Model!$G$55,TRUE())</f>
        <v>1</v>
      </c>
    </row>
    <row r="178" customFormat="false" ht="15" hidden="false" customHeight="false" outlineLevel="0" collapsed="false">
      <c r="A178" s="7" t="n">
        <v>174</v>
      </c>
      <c r="B178" s="43" t="n">
        <f aca="false">POISSON($A178,Model!B$16,TRUE())</f>
        <v>1</v>
      </c>
      <c r="C178" s="43" t="n">
        <f aca="false">POISSON($A178,Model!C$16,TRUE())</f>
        <v>1</v>
      </c>
      <c r="D178" s="43" t="n">
        <f aca="false">POISSON($A178,Model!D$16,TRUE())</f>
        <v>1</v>
      </c>
      <c r="E178" s="43" t="n">
        <f aca="false">POISSON($A178,Model!E$16,TRUE())</f>
        <v>1</v>
      </c>
      <c r="H178" s="43" t="n">
        <f aca="false">POISSON($A178,Model!$C$46,TRUE())</f>
        <v>1</v>
      </c>
      <c r="I178" s="43" t="n">
        <f aca="false">POISSON($A178,Model!$C$47,TRUE())</f>
        <v>1</v>
      </c>
      <c r="J178" s="43" t="n">
        <f aca="false">POISSON($A178,Model!$C$48,TRUE())</f>
        <v>1</v>
      </c>
      <c r="K178" s="43" t="n">
        <f aca="false">POISSON($A178,Model!$C$53,TRUE())</f>
        <v>1</v>
      </c>
      <c r="L178" s="43" t="n">
        <f aca="false">POISSON($A178,Model!$C$54,TRUE())</f>
        <v>1</v>
      </c>
      <c r="M178" s="43" t="n">
        <f aca="false">POISSON($A178,Model!$C$55,TRUE())</f>
        <v>1</v>
      </c>
      <c r="N178" s="43" t="n">
        <f aca="false">POISSON($A178,Model!$G$53,TRUE())</f>
        <v>1</v>
      </c>
      <c r="O178" s="43" t="n">
        <f aca="false">POISSON($A178,Model!$G$54,TRUE())</f>
        <v>1</v>
      </c>
      <c r="P178" s="43" t="n">
        <f aca="false">POISSON($A178,Model!$G$55,TRUE())</f>
        <v>1</v>
      </c>
    </row>
    <row r="179" customFormat="false" ht="15" hidden="false" customHeight="false" outlineLevel="0" collapsed="false">
      <c r="A179" s="7" t="n">
        <v>175</v>
      </c>
      <c r="B179" s="43" t="n">
        <f aca="false">POISSON($A179,Model!B$16,TRUE())</f>
        <v>1</v>
      </c>
      <c r="C179" s="43" t="n">
        <f aca="false">POISSON($A179,Model!C$16,TRUE())</f>
        <v>1</v>
      </c>
      <c r="D179" s="43" t="n">
        <f aca="false">POISSON($A179,Model!D$16,TRUE())</f>
        <v>1</v>
      </c>
      <c r="E179" s="43" t="n">
        <f aca="false">POISSON($A179,Model!E$16,TRUE())</f>
        <v>1</v>
      </c>
      <c r="H179" s="43" t="n">
        <f aca="false">POISSON($A179,Model!$C$46,TRUE())</f>
        <v>1</v>
      </c>
      <c r="I179" s="43" t="n">
        <f aca="false">POISSON($A179,Model!$C$47,TRUE())</f>
        <v>1</v>
      </c>
      <c r="J179" s="43" t="n">
        <f aca="false">POISSON($A179,Model!$C$48,TRUE())</f>
        <v>1</v>
      </c>
      <c r="K179" s="43" t="n">
        <f aca="false">POISSON($A179,Model!$C$53,TRUE())</f>
        <v>1</v>
      </c>
      <c r="L179" s="43" t="n">
        <f aca="false">POISSON($A179,Model!$C$54,TRUE())</f>
        <v>1</v>
      </c>
      <c r="M179" s="43" t="n">
        <f aca="false">POISSON($A179,Model!$C$55,TRUE())</f>
        <v>1</v>
      </c>
      <c r="N179" s="43" t="n">
        <f aca="false">POISSON($A179,Model!$G$53,TRUE())</f>
        <v>1</v>
      </c>
      <c r="O179" s="43" t="n">
        <f aca="false">POISSON($A179,Model!$G$54,TRUE())</f>
        <v>1</v>
      </c>
      <c r="P179" s="43" t="n">
        <f aca="false">POISSON($A179,Model!$G$55,TRUE())</f>
        <v>1</v>
      </c>
    </row>
    <row r="180" customFormat="false" ht="15" hidden="false" customHeight="false" outlineLevel="0" collapsed="false">
      <c r="A180" s="7" t="n">
        <v>176</v>
      </c>
      <c r="B180" s="43" t="n">
        <f aca="false">POISSON($A180,Model!B$16,TRUE())</f>
        <v>1</v>
      </c>
      <c r="C180" s="43" t="n">
        <f aca="false">POISSON($A180,Model!C$16,TRUE())</f>
        <v>1</v>
      </c>
      <c r="D180" s="43" t="n">
        <f aca="false">POISSON($A180,Model!D$16,TRUE())</f>
        <v>1</v>
      </c>
      <c r="E180" s="43" t="n">
        <f aca="false">POISSON($A180,Model!E$16,TRUE())</f>
        <v>1</v>
      </c>
      <c r="H180" s="43" t="n">
        <f aca="false">POISSON($A180,Model!$C$46,TRUE())</f>
        <v>1</v>
      </c>
      <c r="I180" s="43" t="n">
        <f aca="false">POISSON($A180,Model!$C$47,TRUE())</f>
        <v>1</v>
      </c>
      <c r="J180" s="43" t="n">
        <f aca="false">POISSON($A180,Model!$C$48,TRUE())</f>
        <v>1</v>
      </c>
      <c r="K180" s="43" t="n">
        <f aca="false">POISSON($A180,Model!$C$53,TRUE())</f>
        <v>1</v>
      </c>
      <c r="L180" s="43" t="n">
        <f aca="false">POISSON($A180,Model!$C$54,TRUE())</f>
        <v>1</v>
      </c>
      <c r="M180" s="43" t="n">
        <f aca="false">POISSON($A180,Model!$C$55,TRUE())</f>
        <v>1</v>
      </c>
      <c r="N180" s="43" t="n">
        <f aca="false">POISSON($A180,Model!$G$53,TRUE())</f>
        <v>1</v>
      </c>
      <c r="O180" s="43" t="n">
        <f aca="false">POISSON($A180,Model!$G$54,TRUE())</f>
        <v>1</v>
      </c>
      <c r="P180" s="43" t="n">
        <f aca="false">POISSON($A180,Model!$G$55,TRUE())</f>
        <v>1</v>
      </c>
    </row>
    <row r="181" customFormat="false" ht="15" hidden="false" customHeight="false" outlineLevel="0" collapsed="false">
      <c r="A181" s="7" t="n">
        <v>177</v>
      </c>
      <c r="B181" s="43" t="n">
        <f aca="false">POISSON($A181,Model!B$16,TRUE())</f>
        <v>1</v>
      </c>
      <c r="C181" s="43" t="n">
        <f aca="false">POISSON($A181,Model!C$16,TRUE())</f>
        <v>1</v>
      </c>
      <c r="D181" s="43" t="n">
        <f aca="false">POISSON($A181,Model!D$16,TRUE())</f>
        <v>1</v>
      </c>
      <c r="E181" s="43" t="n">
        <f aca="false">POISSON($A181,Model!E$16,TRUE())</f>
        <v>1</v>
      </c>
      <c r="H181" s="43" t="n">
        <f aca="false">POISSON($A181,Model!$C$46,TRUE())</f>
        <v>1</v>
      </c>
      <c r="I181" s="43" t="n">
        <f aca="false">POISSON($A181,Model!$C$47,TRUE())</f>
        <v>1</v>
      </c>
      <c r="J181" s="43" t="n">
        <f aca="false">POISSON($A181,Model!$C$48,TRUE())</f>
        <v>1</v>
      </c>
      <c r="K181" s="43" t="n">
        <f aca="false">POISSON($A181,Model!$C$53,TRUE())</f>
        <v>1</v>
      </c>
      <c r="L181" s="43" t="n">
        <f aca="false">POISSON($A181,Model!$C$54,TRUE())</f>
        <v>1</v>
      </c>
      <c r="M181" s="43" t="n">
        <f aca="false">POISSON($A181,Model!$C$55,TRUE())</f>
        <v>1</v>
      </c>
      <c r="N181" s="43" t="n">
        <f aca="false">POISSON($A181,Model!$G$53,TRUE())</f>
        <v>1</v>
      </c>
      <c r="O181" s="43" t="n">
        <f aca="false">POISSON($A181,Model!$G$54,TRUE())</f>
        <v>1</v>
      </c>
      <c r="P181" s="43" t="n">
        <f aca="false">POISSON($A181,Model!$G$55,TRUE())</f>
        <v>1</v>
      </c>
    </row>
    <row r="182" customFormat="false" ht="15" hidden="false" customHeight="false" outlineLevel="0" collapsed="false">
      <c r="A182" s="7" t="n">
        <v>178</v>
      </c>
      <c r="B182" s="43" t="n">
        <f aca="false">POISSON($A182,Model!B$16,TRUE())</f>
        <v>1</v>
      </c>
      <c r="C182" s="43" t="n">
        <f aca="false">POISSON($A182,Model!C$16,TRUE())</f>
        <v>1</v>
      </c>
      <c r="D182" s="43" t="n">
        <f aca="false">POISSON($A182,Model!D$16,TRUE())</f>
        <v>1</v>
      </c>
      <c r="E182" s="43" t="n">
        <f aca="false">POISSON($A182,Model!E$16,TRUE())</f>
        <v>1</v>
      </c>
      <c r="H182" s="43" t="n">
        <f aca="false">POISSON($A182,Model!$C$46,TRUE())</f>
        <v>1</v>
      </c>
      <c r="I182" s="43" t="n">
        <f aca="false">POISSON($A182,Model!$C$47,TRUE())</f>
        <v>1</v>
      </c>
      <c r="J182" s="43" t="n">
        <f aca="false">POISSON($A182,Model!$C$48,TRUE())</f>
        <v>1</v>
      </c>
      <c r="K182" s="43" t="n">
        <f aca="false">POISSON($A182,Model!$C$53,TRUE())</f>
        <v>1</v>
      </c>
      <c r="L182" s="43" t="n">
        <f aca="false">POISSON($A182,Model!$C$54,TRUE())</f>
        <v>1</v>
      </c>
      <c r="M182" s="43" t="n">
        <f aca="false">POISSON($A182,Model!$C$55,TRUE())</f>
        <v>1</v>
      </c>
      <c r="N182" s="43" t="n">
        <f aca="false">POISSON($A182,Model!$G$53,TRUE())</f>
        <v>1</v>
      </c>
      <c r="O182" s="43" t="n">
        <f aca="false">POISSON($A182,Model!$G$54,TRUE())</f>
        <v>1</v>
      </c>
      <c r="P182" s="43" t="n">
        <f aca="false">POISSON($A182,Model!$G$55,TRUE())</f>
        <v>1</v>
      </c>
    </row>
    <row r="183" customFormat="false" ht="15" hidden="false" customHeight="false" outlineLevel="0" collapsed="false">
      <c r="A183" s="7" t="n">
        <v>179</v>
      </c>
      <c r="B183" s="43" t="n">
        <f aca="false">POISSON($A183,Model!B$16,TRUE())</f>
        <v>1</v>
      </c>
      <c r="C183" s="43" t="n">
        <f aca="false">POISSON($A183,Model!C$16,TRUE())</f>
        <v>1</v>
      </c>
      <c r="D183" s="43" t="n">
        <f aca="false">POISSON($A183,Model!D$16,TRUE())</f>
        <v>1</v>
      </c>
      <c r="E183" s="43" t="n">
        <f aca="false">POISSON($A183,Model!E$16,TRUE())</f>
        <v>1</v>
      </c>
      <c r="H183" s="43" t="n">
        <f aca="false">POISSON($A183,Model!$C$46,TRUE())</f>
        <v>1</v>
      </c>
      <c r="I183" s="43" t="n">
        <f aca="false">POISSON($A183,Model!$C$47,TRUE())</f>
        <v>1</v>
      </c>
      <c r="J183" s="43" t="n">
        <f aca="false">POISSON($A183,Model!$C$48,TRUE())</f>
        <v>1</v>
      </c>
      <c r="K183" s="43" t="n">
        <f aca="false">POISSON($A183,Model!$C$53,TRUE())</f>
        <v>1</v>
      </c>
      <c r="L183" s="43" t="n">
        <f aca="false">POISSON($A183,Model!$C$54,TRUE())</f>
        <v>1</v>
      </c>
      <c r="M183" s="43" t="n">
        <f aca="false">POISSON($A183,Model!$C$55,TRUE())</f>
        <v>1</v>
      </c>
      <c r="N183" s="43" t="n">
        <f aca="false">POISSON($A183,Model!$G$53,TRUE())</f>
        <v>1</v>
      </c>
      <c r="O183" s="43" t="n">
        <f aca="false">POISSON($A183,Model!$G$54,TRUE())</f>
        <v>1</v>
      </c>
      <c r="P183" s="43" t="n">
        <f aca="false">POISSON($A183,Model!$G$55,TRUE())</f>
        <v>1</v>
      </c>
    </row>
    <row r="184" customFormat="false" ht="15" hidden="false" customHeight="false" outlineLevel="0" collapsed="false">
      <c r="A184" s="7" t="n">
        <v>180</v>
      </c>
      <c r="B184" s="43" t="n">
        <f aca="false">POISSON($A184,Model!B$16,TRUE())</f>
        <v>1</v>
      </c>
      <c r="C184" s="43" t="n">
        <f aca="false">POISSON($A184,Model!C$16,TRUE())</f>
        <v>1</v>
      </c>
      <c r="D184" s="43" t="n">
        <f aca="false">POISSON($A184,Model!D$16,TRUE())</f>
        <v>1</v>
      </c>
      <c r="E184" s="43" t="n">
        <f aca="false">POISSON($A184,Model!E$16,TRUE())</f>
        <v>1</v>
      </c>
      <c r="H184" s="43" t="n">
        <f aca="false">POISSON($A184,Model!$C$46,TRUE())</f>
        <v>1</v>
      </c>
      <c r="I184" s="43" t="n">
        <f aca="false">POISSON($A184,Model!$C$47,TRUE())</f>
        <v>1</v>
      </c>
      <c r="J184" s="43" t="n">
        <f aca="false">POISSON($A184,Model!$C$48,TRUE())</f>
        <v>1</v>
      </c>
      <c r="K184" s="43" t="n">
        <f aca="false">POISSON($A184,Model!$C$53,TRUE())</f>
        <v>1</v>
      </c>
      <c r="L184" s="43" t="n">
        <f aca="false">POISSON($A184,Model!$C$54,TRUE())</f>
        <v>1</v>
      </c>
      <c r="M184" s="43" t="n">
        <f aca="false">POISSON($A184,Model!$C$55,TRUE())</f>
        <v>1</v>
      </c>
      <c r="N184" s="43" t="n">
        <f aca="false">POISSON($A184,Model!$G$53,TRUE())</f>
        <v>1</v>
      </c>
      <c r="O184" s="43" t="n">
        <f aca="false">POISSON($A184,Model!$G$54,TRUE())</f>
        <v>1</v>
      </c>
      <c r="P184" s="43" t="n">
        <f aca="false">POISSON($A184,Model!$G$55,TRUE())</f>
        <v>1</v>
      </c>
    </row>
    <row r="185" customFormat="false" ht="15" hidden="false" customHeight="false" outlineLevel="0" collapsed="false">
      <c r="A185" s="7" t="n">
        <v>181</v>
      </c>
      <c r="B185" s="43" t="n">
        <f aca="false">POISSON($A185,Model!B$16,TRUE())</f>
        <v>1</v>
      </c>
      <c r="C185" s="43" t="n">
        <f aca="false">POISSON($A185,Model!C$16,TRUE())</f>
        <v>1</v>
      </c>
      <c r="D185" s="43" t="n">
        <f aca="false">POISSON($A185,Model!D$16,TRUE())</f>
        <v>1</v>
      </c>
      <c r="E185" s="43" t="n">
        <f aca="false">POISSON($A185,Model!E$16,TRUE())</f>
        <v>1</v>
      </c>
      <c r="H185" s="43" t="n">
        <f aca="false">POISSON($A185,Model!$C$46,TRUE())</f>
        <v>1</v>
      </c>
      <c r="I185" s="43" t="n">
        <f aca="false">POISSON($A185,Model!$C$47,TRUE())</f>
        <v>1</v>
      </c>
      <c r="J185" s="43" t="n">
        <f aca="false">POISSON($A185,Model!$C$48,TRUE())</f>
        <v>1</v>
      </c>
      <c r="K185" s="43" t="n">
        <f aca="false">POISSON($A185,Model!$C$53,TRUE())</f>
        <v>1</v>
      </c>
      <c r="L185" s="43" t="n">
        <f aca="false">POISSON($A185,Model!$C$54,TRUE())</f>
        <v>1</v>
      </c>
      <c r="M185" s="43" t="n">
        <f aca="false">POISSON($A185,Model!$C$55,TRUE())</f>
        <v>1</v>
      </c>
      <c r="N185" s="43" t="n">
        <f aca="false">POISSON($A185,Model!$G$53,TRUE())</f>
        <v>1</v>
      </c>
      <c r="O185" s="43" t="n">
        <f aca="false">POISSON($A185,Model!$G$54,TRUE())</f>
        <v>1</v>
      </c>
      <c r="P185" s="43" t="n">
        <f aca="false">POISSON($A185,Model!$G$55,TRUE())</f>
        <v>1</v>
      </c>
    </row>
    <row r="186" customFormat="false" ht="15" hidden="false" customHeight="false" outlineLevel="0" collapsed="false">
      <c r="A186" s="7" t="n">
        <v>182</v>
      </c>
      <c r="B186" s="43" t="n">
        <f aca="false">POISSON($A186,Model!B$16,TRUE())</f>
        <v>1</v>
      </c>
      <c r="C186" s="43" t="n">
        <f aca="false">POISSON($A186,Model!C$16,TRUE())</f>
        <v>1</v>
      </c>
      <c r="D186" s="43" t="n">
        <f aca="false">POISSON($A186,Model!D$16,TRUE())</f>
        <v>1</v>
      </c>
      <c r="E186" s="43" t="n">
        <f aca="false">POISSON($A186,Model!E$16,TRUE())</f>
        <v>1</v>
      </c>
      <c r="H186" s="43" t="n">
        <f aca="false">POISSON($A186,Model!$C$46,TRUE())</f>
        <v>1</v>
      </c>
      <c r="I186" s="43" t="n">
        <f aca="false">POISSON($A186,Model!$C$47,TRUE())</f>
        <v>1</v>
      </c>
      <c r="J186" s="43" t="n">
        <f aca="false">POISSON($A186,Model!$C$48,TRUE())</f>
        <v>1</v>
      </c>
      <c r="K186" s="43" t="n">
        <f aca="false">POISSON($A186,Model!$C$53,TRUE())</f>
        <v>1</v>
      </c>
      <c r="L186" s="43" t="n">
        <f aca="false">POISSON($A186,Model!$C$54,TRUE())</f>
        <v>1</v>
      </c>
      <c r="M186" s="43" t="n">
        <f aca="false">POISSON($A186,Model!$C$55,TRUE())</f>
        <v>1</v>
      </c>
      <c r="N186" s="43" t="n">
        <f aca="false">POISSON($A186,Model!$G$53,TRUE())</f>
        <v>1</v>
      </c>
      <c r="O186" s="43" t="n">
        <f aca="false">POISSON($A186,Model!$G$54,TRUE())</f>
        <v>1</v>
      </c>
      <c r="P186" s="43" t="n">
        <f aca="false">POISSON($A186,Model!$G$55,TRUE())</f>
        <v>1</v>
      </c>
    </row>
    <row r="187" customFormat="false" ht="15" hidden="false" customHeight="false" outlineLevel="0" collapsed="false">
      <c r="A187" s="7" t="n">
        <v>183</v>
      </c>
      <c r="B187" s="43" t="n">
        <f aca="false">POISSON($A187,Model!B$16,TRUE())</f>
        <v>1</v>
      </c>
      <c r="C187" s="43" t="n">
        <f aca="false">POISSON($A187,Model!C$16,TRUE())</f>
        <v>1</v>
      </c>
      <c r="D187" s="43" t="n">
        <f aca="false">POISSON($A187,Model!D$16,TRUE())</f>
        <v>1</v>
      </c>
      <c r="E187" s="43" t="n">
        <f aca="false">POISSON($A187,Model!E$16,TRUE())</f>
        <v>1</v>
      </c>
      <c r="H187" s="43" t="n">
        <f aca="false">POISSON($A187,Model!$C$46,TRUE())</f>
        <v>1</v>
      </c>
      <c r="I187" s="43" t="n">
        <f aca="false">POISSON($A187,Model!$C$47,TRUE())</f>
        <v>1</v>
      </c>
      <c r="J187" s="43" t="n">
        <f aca="false">POISSON($A187,Model!$C$48,TRUE())</f>
        <v>1</v>
      </c>
      <c r="K187" s="43" t="n">
        <f aca="false">POISSON($A187,Model!$C$53,TRUE())</f>
        <v>1</v>
      </c>
      <c r="L187" s="43" t="n">
        <f aca="false">POISSON($A187,Model!$C$54,TRUE())</f>
        <v>1</v>
      </c>
      <c r="M187" s="43" t="n">
        <f aca="false">POISSON($A187,Model!$C$55,TRUE())</f>
        <v>1</v>
      </c>
      <c r="N187" s="43" t="n">
        <f aca="false">POISSON($A187,Model!$G$53,TRUE())</f>
        <v>1</v>
      </c>
      <c r="O187" s="43" t="n">
        <f aca="false">POISSON($A187,Model!$G$54,TRUE())</f>
        <v>1</v>
      </c>
      <c r="P187" s="43" t="n">
        <f aca="false">POISSON($A187,Model!$G$55,TRUE())</f>
        <v>1</v>
      </c>
    </row>
    <row r="188" customFormat="false" ht="15" hidden="false" customHeight="false" outlineLevel="0" collapsed="false">
      <c r="A188" s="7" t="n">
        <v>184</v>
      </c>
      <c r="B188" s="43" t="n">
        <f aca="false">POISSON($A188,Model!B$16,TRUE())</f>
        <v>1</v>
      </c>
      <c r="C188" s="43" t="n">
        <f aca="false">POISSON($A188,Model!C$16,TRUE())</f>
        <v>1</v>
      </c>
      <c r="D188" s="43" t="n">
        <f aca="false">POISSON($A188,Model!D$16,TRUE())</f>
        <v>1</v>
      </c>
      <c r="E188" s="43" t="n">
        <f aca="false">POISSON($A188,Model!E$16,TRUE())</f>
        <v>1</v>
      </c>
      <c r="H188" s="43" t="n">
        <f aca="false">POISSON($A188,Model!$C$46,TRUE())</f>
        <v>1</v>
      </c>
      <c r="I188" s="43" t="n">
        <f aca="false">POISSON($A188,Model!$C$47,TRUE())</f>
        <v>1</v>
      </c>
      <c r="J188" s="43" t="n">
        <f aca="false">POISSON($A188,Model!$C$48,TRUE())</f>
        <v>1</v>
      </c>
      <c r="K188" s="43" t="n">
        <f aca="false">POISSON($A188,Model!$C$53,TRUE())</f>
        <v>1</v>
      </c>
      <c r="L188" s="43" t="n">
        <f aca="false">POISSON($A188,Model!$C$54,TRUE())</f>
        <v>1</v>
      </c>
      <c r="M188" s="43" t="n">
        <f aca="false">POISSON($A188,Model!$C$55,TRUE())</f>
        <v>1</v>
      </c>
      <c r="N188" s="43" t="n">
        <f aca="false">POISSON($A188,Model!$G$53,TRUE())</f>
        <v>1</v>
      </c>
      <c r="O188" s="43" t="n">
        <f aca="false">POISSON($A188,Model!$G$54,TRUE())</f>
        <v>1</v>
      </c>
      <c r="P188" s="43" t="n">
        <f aca="false">POISSON($A188,Model!$G$55,TRUE())</f>
        <v>1</v>
      </c>
    </row>
    <row r="189" customFormat="false" ht="15" hidden="false" customHeight="false" outlineLevel="0" collapsed="false">
      <c r="A189" s="7" t="n">
        <v>185</v>
      </c>
      <c r="B189" s="43" t="n">
        <f aca="false">POISSON($A189,Model!B$16,TRUE())</f>
        <v>1</v>
      </c>
      <c r="C189" s="43" t="n">
        <f aca="false">POISSON($A189,Model!C$16,TRUE())</f>
        <v>1</v>
      </c>
      <c r="D189" s="43" t="n">
        <f aca="false">POISSON($A189,Model!D$16,TRUE())</f>
        <v>1</v>
      </c>
      <c r="E189" s="43" t="n">
        <f aca="false">POISSON($A189,Model!E$16,TRUE())</f>
        <v>1</v>
      </c>
      <c r="H189" s="43" t="n">
        <f aca="false">POISSON($A189,Model!$C$46,TRUE())</f>
        <v>1</v>
      </c>
      <c r="I189" s="43" t="n">
        <f aca="false">POISSON($A189,Model!$C$47,TRUE())</f>
        <v>1</v>
      </c>
      <c r="J189" s="43" t="n">
        <f aca="false">POISSON($A189,Model!$C$48,TRUE())</f>
        <v>1</v>
      </c>
      <c r="K189" s="43" t="n">
        <f aca="false">POISSON($A189,Model!$C$53,TRUE())</f>
        <v>1</v>
      </c>
      <c r="L189" s="43" t="n">
        <f aca="false">POISSON($A189,Model!$C$54,TRUE())</f>
        <v>1</v>
      </c>
      <c r="M189" s="43" t="n">
        <f aca="false">POISSON($A189,Model!$C$55,TRUE())</f>
        <v>1</v>
      </c>
      <c r="N189" s="43" t="n">
        <f aca="false">POISSON($A189,Model!$G$53,TRUE())</f>
        <v>1</v>
      </c>
      <c r="O189" s="43" t="n">
        <f aca="false">POISSON($A189,Model!$G$54,TRUE())</f>
        <v>1</v>
      </c>
      <c r="P189" s="43" t="n">
        <f aca="false">POISSON($A189,Model!$G$55,TRUE())</f>
        <v>1</v>
      </c>
    </row>
    <row r="190" customFormat="false" ht="15" hidden="false" customHeight="false" outlineLevel="0" collapsed="false">
      <c r="A190" s="7" t="n">
        <v>186</v>
      </c>
      <c r="B190" s="43" t="n">
        <f aca="false">POISSON($A190,Model!B$16,TRUE())</f>
        <v>1</v>
      </c>
      <c r="C190" s="43" t="n">
        <f aca="false">POISSON($A190,Model!C$16,TRUE())</f>
        <v>1</v>
      </c>
      <c r="D190" s="43" t="n">
        <f aca="false">POISSON($A190,Model!D$16,TRUE())</f>
        <v>1</v>
      </c>
      <c r="E190" s="43" t="n">
        <f aca="false">POISSON($A190,Model!E$16,TRUE())</f>
        <v>1</v>
      </c>
      <c r="H190" s="43" t="n">
        <f aca="false">POISSON($A190,Model!$C$46,TRUE())</f>
        <v>1</v>
      </c>
      <c r="I190" s="43" t="n">
        <f aca="false">POISSON($A190,Model!$C$47,TRUE())</f>
        <v>1</v>
      </c>
      <c r="J190" s="43" t="n">
        <f aca="false">POISSON($A190,Model!$C$48,TRUE())</f>
        <v>1</v>
      </c>
      <c r="K190" s="43" t="n">
        <f aca="false">POISSON($A190,Model!$C$53,TRUE())</f>
        <v>1</v>
      </c>
      <c r="L190" s="43" t="n">
        <f aca="false">POISSON($A190,Model!$C$54,TRUE())</f>
        <v>1</v>
      </c>
      <c r="M190" s="43" t="n">
        <f aca="false">POISSON($A190,Model!$C$55,TRUE())</f>
        <v>1</v>
      </c>
      <c r="N190" s="43" t="n">
        <f aca="false">POISSON($A190,Model!$G$53,TRUE())</f>
        <v>1</v>
      </c>
      <c r="O190" s="43" t="n">
        <f aca="false">POISSON($A190,Model!$G$54,TRUE())</f>
        <v>1</v>
      </c>
      <c r="P190" s="43" t="n">
        <f aca="false">POISSON($A190,Model!$G$55,TRUE())</f>
        <v>1</v>
      </c>
    </row>
    <row r="191" customFormat="false" ht="15" hidden="false" customHeight="false" outlineLevel="0" collapsed="false">
      <c r="A191" s="7" t="n">
        <v>187</v>
      </c>
      <c r="B191" s="43" t="n">
        <f aca="false">POISSON($A191,Model!B$16,TRUE())</f>
        <v>1</v>
      </c>
      <c r="C191" s="43" t="n">
        <f aca="false">POISSON($A191,Model!C$16,TRUE())</f>
        <v>1</v>
      </c>
      <c r="D191" s="43" t="n">
        <f aca="false">POISSON($A191,Model!D$16,TRUE())</f>
        <v>1</v>
      </c>
      <c r="E191" s="43" t="n">
        <f aca="false">POISSON($A191,Model!E$16,TRUE())</f>
        <v>1</v>
      </c>
      <c r="H191" s="43" t="n">
        <f aca="false">POISSON($A191,Model!$C$46,TRUE())</f>
        <v>1</v>
      </c>
      <c r="I191" s="43" t="n">
        <f aca="false">POISSON($A191,Model!$C$47,TRUE())</f>
        <v>1</v>
      </c>
      <c r="J191" s="43" t="n">
        <f aca="false">POISSON($A191,Model!$C$48,TRUE())</f>
        <v>1</v>
      </c>
      <c r="K191" s="43" t="n">
        <f aca="false">POISSON($A191,Model!$C$53,TRUE())</f>
        <v>1</v>
      </c>
      <c r="L191" s="43" t="n">
        <f aca="false">POISSON($A191,Model!$C$54,TRUE())</f>
        <v>1</v>
      </c>
      <c r="M191" s="43" t="n">
        <f aca="false">POISSON($A191,Model!$C$55,TRUE())</f>
        <v>1</v>
      </c>
      <c r="N191" s="43" t="n">
        <f aca="false">POISSON($A191,Model!$G$53,TRUE())</f>
        <v>1</v>
      </c>
      <c r="O191" s="43" t="n">
        <f aca="false">POISSON($A191,Model!$G$54,TRUE())</f>
        <v>1</v>
      </c>
      <c r="P191" s="43" t="n">
        <f aca="false">POISSON($A191,Model!$G$55,TRUE())</f>
        <v>1</v>
      </c>
    </row>
    <row r="192" customFormat="false" ht="15" hidden="false" customHeight="false" outlineLevel="0" collapsed="false">
      <c r="A192" s="7" t="n">
        <v>188</v>
      </c>
      <c r="B192" s="43" t="n">
        <f aca="false">POISSON($A192,Model!B$16,TRUE())</f>
        <v>1</v>
      </c>
      <c r="C192" s="43" t="n">
        <f aca="false">POISSON($A192,Model!C$16,TRUE())</f>
        <v>1</v>
      </c>
      <c r="D192" s="43" t="n">
        <f aca="false">POISSON($A192,Model!D$16,TRUE())</f>
        <v>1</v>
      </c>
      <c r="E192" s="43" t="n">
        <f aca="false">POISSON($A192,Model!E$16,TRUE())</f>
        <v>1</v>
      </c>
      <c r="H192" s="43" t="n">
        <f aca="false">POISSON($A192,Model!$C$46,TRUE())</f>
        <v>1</v>
      </c>
      <c r="I192" s="43" t="n">
        <f aca="false">POISSON($A192,Model!$C$47,TRUE())</f>
        <v>1</v>
      </c>
      <c r="J192" s="43" t="n">
        <f aca="false">POISSON($A192,Model!$C$48,TRUE())</f>
        <v>1</v>
      </c>
      <c r="K192" s="43" t="n">
        <f aca="false">POISSON($A192,Model!$C$53,TRUE())</f>
        <v>1</v>
      </c>
      <c r="L192" s="43" t="n">
        <f aca="false">POISSON($A192,Model!$C$54,TRUE())</f>
        <v>1</v>
      </c>
      <c r="M192" s="43" t="n">
        <f aca="false">POISSON($A192,Model!$C$55,TRUE())</f>
        <v>1</v>
      </c>
      <c r="N192" s="43" t="n">
        <f aca="false">POISSON($A192,Model!$G$53,TRUE())</f>
        <v>1</v>
      </c>
      <c r="O192" s="43" t="n">
        <f aca="false">POISSON($A192,Model!$G$54,TRUE())</f>
        <v>1</v>
      </c>
      <c r="P192" s="43" t="n">
        <f aca="false">POISSON($A192,Model!$G$55,TRUE())</f>
        <v>1</v>
      </c>
    </row>
    <row r="193" customFormat="false" ht="15" hidden="false" customHeight="false" outlineLevel="0" collapsed="false">
      <c r="A193" s="7" t="n">
        <v>189</v>
      </c>
      <c r="B193" s="43" t="n">
        <f aca="false">POISSON($A193,Model!B$16,TRUE())</f>
        <v>1</v>
      </c>
      <c r="C193" s="43" t="n">
        <f aca="false">POISSON($A193,Model!C$16,TRUE())</f>
        <v>1</v>
      </c>
      <c r="D193" s="43" t="n">
        <f aca="false">POISSON($A193,Model!D$16,TRUE())</f>
        <v>1</v>
      </c>
      <c r="E193" s="43" t="n">
        <f aca="false">POISSON($A193,Model!E$16,TRUE())</f>
        <v>1</v>
      </c>
      <c r="H193" s="43" t="n">
        <f aca="false">POISSON($A193,Model!$C$46,TRUE())</f>
        <v>1</v>
      </c>
      <c r="I193" s="43" t="n">
        <f aca="false">POISSON($A193,Model!$C$47,TRUE())</f>
        <v>1</v>
      </c>
      <c r="J193" s="43" t="n">
        <f aca="false">POISSON($A193,Model!$C$48,TRUE())</f>
        <v>1</v>
      </c>
      <c r="K193" s="43" t="n">
        <f aca="false">POISSON($A193,Model!$C$53,TRUE())</f>
        <v>1</v>
      </c>
      <c r="L193" s="43" t="n">
        <f aca="false">POISSON($A193,Model!$C$54,TRUE())</f>
        <v>1</v>
      </c>
      <c r="M193" s="43" t="n">
        <f aca="false">POISSON($A193,Model!$C$55,TRUE())</f>
        <v>1</v>
      </c>
      <c r="N193" s="43" t="n">
        <f aca="false">POISSON($A193,Model!$G$53,TRUE())</f>
        <v>1</v>
      </c>
      <c r="O193" s="43" t="n">
        <f aca="false">POISSON($A193,Model!$G$54,TRUE())</f>
        <v>1</v>
      </c>
      <c r="P193" s="43" t="n">
        <f aca="false">POISSON($A193,Model!$G$55,TRUE())</f>
        <v>1</v>
      </c>
    </row>
    <row r="194" customFormat="false" ht="15" hidden="false" customHeight="false" outlineLevel="0" collapsed="false">
      <c r="A194" s="7" t="n">
        <v>190</v>
      </c>
      <c r="B194" s="43" t="n">
        <f aca="false">POISSON($A194,Model!B$16,TRUE())</f>
        <v>1</v>
      </c>
      <c r="C194" s="43" t="n">
        <f aca="false">POISSON($A194,Model!C$16,TRUE())</f>
        <v>1</v>
      </c>
      <c r="D194" s="43" t="n">
        <f aca="false">POISSON($A194,Model!D$16,TRUE())</f>
        <v>1</v>
      </c>
      <c r="E194" s="43" t="n">
        <f aca="false">POISSON($A194,Model!E$16,TRUE())</f>
        <v>1</v>
      </c>
      <c r="H194" s="43" t="n">
        <f aca="false">POISSON($A194,Model!$C$46,TRUE())</f>
        <v>1</v>
      </c>
      <c r="I194" s="43" t="n">
        <f aca="false">POISSON($A194,Model!$C$47,TRUE())</f>
        <v>1</v>
      </c>
      <c r="J194" s="43" t="n">
        <f aca="false">POISSON($A194,Model!$C$48,TRUE())</f>
        <v>1</v>
      </c>
      <c r="K194" s="43" t="n">
        <f aca="false">POISSON($A194,Model!$C$53,TRUE())</f>
        <v>1</v>
      </c>
      <c r="L194" s="43" t="n">
        <f aca="false">POISSON($A194,Model!$C$54,TRUE())</f>
        <v>1</v>
      </c>
      <c r="M194" s="43" t="n">
        <f aca="false">POISSON($A194,Model!$C$55,TRUE())</f>
        <v>1</v>
      </c>
      <c r="N194" s="43" t="n">
        <f aca="false">POISSON($A194,Model!$G$53,TRUE())</f>
        <v>1</v>
      </c>
      <c r="O194" s="43" t="n">
        <f aca="false">POISSON($A194,Model!$G$54,TRUE())</f>
        <v>1</v>
      </c>
      <c r="P194" s="43" t="n">
        <f aca="false">POISSON($A194,Model!$G$55,TRUE())</f>
        <v>1</v>
      </c>
    </row>
    <row r="195" customFormat="false" ht="15" hidden="false" customHeight="false" outlineLevel="0" collapsed="false">
      <c r="A195" s="7" t="n">
        <v>191</v>
      </c>
      <c r="B195" s="43" t="n">
        <f aca="false">POISSON($A195,Model!B$16,TRUE())</f>
        <v>1</v>
      </c>
      <c r="C195" s="43" t="n">
        <f aca="false">POISSON($A195,Model!C$16,TRUE())</f>
        <v>1</v>
      </c>
      <c r="D195" s="43" t="n">
        <f aca="false">POISSON($A195,Model!D$16,TRUE())</f>
        <v>1</v>
      </c>
      <c r="E195" s="43" t="n">
        <f aca="false">POISSON($A195,Model!E$16,TRUE())</f>
        <v>1</v>
      </c>
      <c r="H195" s="43" t="n">
        <f aca="false">POISSON($A195,Model!$C$46,TRUE())</f>
        <v>1</v>
      </c>
      <c r="I195" s="43" t="n">
        <f aca="false">POISSON($A195,Model!$C$47,TRUE())</f>
        <v>1</v>
      </c>
      <c r="J195" s="43" t="n">
        <f aca="false">POISSON($A195,Model!$C$48,TRUE())</f>
        <v>1</v>
      </c>
      <c r="K195" s="43" t="n">
        <f aca="false">POISSON($A195,Model!$C$53,TRUE())</f>
        <v>1</v>
      </c>
      <c r="L195" s="43" t="n">
        <f aca="false">POISSON($A195,Model!$C$54,TRUE())</f>
        <v>1</v>
      </c>
      <c r="M195" s="43" t="n">
        <f aca="false">POISSON($A195,Model!$C$55,TRUE())</f>
        <v>1</v>
      </c>
      <c r="N195" s="43" t="n">
        <f aca="false">POISSON($A195,Model!$G$53,TRUE())</f>
        <v>1</v>
      </c>
      <c r="O195" s="43" t="n">
        <f aca="false">POISSON($A195,Model!$G$54,TRUE())</f>
        <v>1</v>
      </c>
      <c r="P195" s="43" t="n">
        <f aca="false">POISSON($A195,Model!$G$55,TRUE())</f>
        <v>1</v>
      </c>
    </row>
    <row r="196" customFormat="false" ht="15" hidden="false" customHeight="false" outlineLevel="0" collapsed="false">
      <c r="A196" s="7" t="n">
        <v>192</v>
      </c>
      <c r="B196" s="43" t="n">
        <f aca="false">POISSON($A196,Model!B$16,TRUE())</f>
        <v>1</v>
      </c>
      <c r="C196" s="43" t="n">
        <f aca="false">POISSON($A196,Model!C$16,TRUE())</f>
        <v>1</v>
      </c>
      <c r="D196" s="43" t="n">
        <f aca="false">POISSON($A196,Model!D$16,TRUE())</f>
        <v>1</v>
      </c>
      <c r="E196" s="43" t="n">
        <f aca="false">POISSON($A196,Model!E$16,TRUE())</f>
        <v>1</v>
      </c>
      <c r="H196" s="43" t="n">
        <f aca="false">POISSON($A196,Model!$C$46,TRUE())</f>
        <v>1</v>
      </c>
      <c r="I196" s="43" t="n">
        <f aca="false">POISSON($A196,Model!$C$47,TRUE())</f>
        <v>1</v>
      </c>
      <c r="J196" s="43" t="n">
        <f aca="false">POISSON($A196,Model!$C$48,TRUE())</f>
        <v>1</v>
      </c>
      <c r="K196" s="43" t="n">
        <f aca="false">POISSON($A196,Model!$C$53,TRUE())</f>
        <v>1</v>
      </c>
      <c r="L196" s="43" t="n">
        <f aca="false">POISSON($A196,Model!$C$54,TRUE())</f>
        <v>1</v>
      </c>
      <c r="M196" s="43" t="n">
        <f aca="false">POISSON($A196,Model!$C$55,TRUE())</f>
        <v>1</v>
      </c>
      <c r="N196" s="43" t="n">
        <f aca="false">POISSON($A196,Model!$G$53,TRUE())</f>
        <v>1</v>
      </c>
      <c r="O196" s="43" t="n">
        <f aca="false">POISSON($A196,Model!$G$54,TRUE())</f>
        <v>1</v>
      </c>
      <c r="P196" s="43" t="n">
        <f aca="false">POISSON($A196,Model!$G$55,TRUE())</f>
        <v>1</v>
      </c>
    </row>
    <row r="197" customFormat="false" ht="15" hidden="false" customHeight="false" outlineLevel="0" collapsed="false">
      <c r="A197" s="7" t="n">
        <v>193</v>
      </c>
      <c r="B197" s="43" t="n">
        <f aca="false">POISSON($A197,Model!B$16,TRUE())</f>
        <v>1</v>
      </c>
      <c r="C197" s="43" t="n">
        <f aca="false">POISSON($A197,Model!C$16,TRUE())</f>
        <v>1</v>
      </c>
      <c r="D197" s="43" t="n">
        <f aca="false">POISSON($A197,Model!D$16,TRUE())</f>
        <v>1</v>
      </c>
      <c r="E197" s="43" t="n">
        <f aca="false">POISSON($A197,Model!E$16,TRUE())</f>
        <v>1</v>
      </c>
      <c r="H197" s="43" t="n">
        <f aca="false">POISSON($A197,Model!$C$46,TRUE())</f>
        <v>1</v>
      </c>
      <c r="I197" s="43" t="n">
        <f aca="false">POISSON($A197,Model!$C$47,TRUE())</f>
        <v>1</v>
      </c>
      <c r="J197" s="43" t="n">
        <f aca="false">POISSON($A197,Model!$C$48,TRUE())</f>
        <v>1</v>
      </c>
      <c r="K197" s="43" t="n">
        <f aca="false">POISSON($A197,Model!$C$53,TRUE())</f>
        <v>1</v>
      </c>
      <c r="L197" s="43" t="n">
        <f aca="false">POISSON($A197,Model!$C$54,TRUE())</f>
        <v>1</v>
      </c>
      <c r="M197" s="43" t="n">
        <f aca="false">POISSON($A197,Model!$C$55,TRUE())</f>
        <v>1</v>
      </c>
      <c r="N197" s="43" t="n">
        <f aca="false">POISSON($A197,Model!$G$53,TRUE())</f>
        <v>1</v>
      </c>
      <c r="O197" s="43" t="n">
        <f aca="false">POISSON($A197,Model!$G$54,TRUE())</f>
        <v>1</v>
      </c>
      <c r="P197" s="43" t="n">
        <f aca="false">POISSON($A197,Model!$G$55,TRUE())</f>
        <v>1</v>
      </c>
    </row>
    <row r="198" customFormat="false" ht="15" hidden="false" customHeight="false" outlineLevel="0" collapsed="false">
      <c r="A198" s="7" t="n">
        <v>194</v>
      </c>
      <c r="B198" s="43" t="n">
        <f aca="false">POISSON($A198,Model!B$16,TRUE())</f>
        <v>1</v>
      </c>
      <c r="C198" s="43" t="n">
        <f aca="false">POISSON($A198,Model!C$16,TRUE())</f>
        <v>1</v>
      </c>
      <c r="D198" s="43" t="n">
        <f aca="false">POISSON($A198,Model!D$16,TRUE())</f>
        <v>1</v>
      </c>
      <c r="E198" s="43" t="n">
        <f aca="false">POISSON($A198,Model!E$16,TRUE())</f>
        <v>1</v>
      </c>
      <c r="H198" s="43" t="n">
        <f aca="false">POISSON($A198,Model!$C$46,TRUE())</f>
        <v>1</v>
      </c>
      <c r="I198" s="43" t="n">
        <f aca="false">POISSON($A198,Model!$C$47,TRUE())</f>
        <v>1</v>
      </c>
      <c r="J198" s="43" t="n">
        <f aca="false">POISSON($A198,Model!$C$48,TRUE())</f>
        <v>1</v>
      </c>
      <c r="K198" s="43" t="n">
        <f aca="false">POISSON($A198,Model!$C$53,TRUE())</f>
        <v>1</v>
      </c>
      <c r="L198" s="43" t="n">
        <f aca="false">POISSON($A198,Model!$C$54,TRUE())</f>
        <v>1</v>
      </c>
      <c r="M198" s="43" t="n">
        <f aca="false">POISSON($A198,Model!$C$55,TRUE())</f>
        <v>1</v>
      </c>
      <c r="N198" s="43" t="n">
        <f aca="false">POISSON($A198,Model!$G$53,TRUE())</f>
        <v>1</v>
      </c>
      <c r="O198" s="43" t="n">
        <f aca="false">POISSON($A198,Model!$G$54,TRUE())</f>
        <v>1</v>
      </c>
      <c r="P198" s="43" t="n">
        <f aca="false">POISSON($A198,Model!$G$55,TRUE())</f>
        <v>1</v>
      </c>
    </row>
    <row r="199" customFormat="false" ht="15" hidden="false" customHeight="false" outlineLevel="0" collapsed="false">
      <c r="A199" s="7" t="n">
        <v>195</v>
      </c>
      <c r="B199" s="43" t="n">
        <f aca="false">POISSON($A199,Model!B$16,TRUE())</f>
        <v>1</v>
      </c>
      <c r="C199" s="43" t="n">
        <f aca="false">POISSON($A199,Model!C$16,TRUE())</f>
        <v>1</v>
      </c>
      <c r="D199" s="43" t="n">
        <f aca="false">POISSON($A199,Model!D$16,TRUE())</f>
        <v>1</v>
      </c>
      <c r="E199" s="43" t="n">
        <f aca="false">POISSON($A199,Model!E$16,TRUE())</f>
        <v>1</v>
      </c>
      <c r="H199" s="43" t="n">
        <f aca="false">POISSON($A199,Model!$C$46,TRUE())</f>
        <v>1</v>
      </c>
      <c r="I199" s="43" t="n">
        <f aca="false">POISSON($A199,Model!$C$47,TRUE())</f>
        <v>1</v>
      </c>
      <c r="J199" s="43" t="n">
        <f aca="false">POISSON($A199,Model!$C$48,TRUE())</f>
        <v>1</v>
      </c>
      <c r="K199" s="43" t="n">
        <f aca="false">POISSON($A199,Model!$C$53,TRUE())</f>
        <v>1</v>
      </c>
      <c r="L199" s="43" t="n">
        <f aca="false">POISSON($A199,Model!$C$54,TRUE())</f>
        <v>1</v>
      </c>
      <c r="M199" s="43" t="n">
        <f aca="false">POISSON($A199,Model!$C$55,TRUE())</f>
        <v>1</v>
      </c>
      <c r="N199" s="43" t="n">
        <f aca="false">POISSON($A199,Model!$G$53,TRUE())</f>
        <v>1</v>
      </c>
      <c r="O199" s="43" t="n">
        <f aca="false">POISSON($A199,Model!$G$54,TRUE())</f>
        <v>1</v>
      </c>
      <c r="P199" s="43" t="n">
        <f aca="false">POISSON($A199,Model!$G$55,TRUE())</f>
        <v>1</v>
      </c>
    </row>
    <row r="200" customFormat="false" ht="15" hidden="false" customHeight="false" outlineLevel="0" collapsed="false">
      <c r="A200" s="7" t="n">
        <v>196</v>
      </c>
      <c r="B200" s="43" t="n">
        <f aca="false">POISSON($A200,Model!B$16,TRUE())</f>
        <v>1</v>
      </c>
      <c r="C200" s="43" t="n">
        <f aca="false">POISSON($A200,Model!C$16,TRUE())</f>
        <v>1</v>
      </c>
      <c r="D200" s="43" t="n">
        <f aca="false">POISSON($A200,Model!D$16,TRUE())</f>
        <v>1</v>
      </c>
      <c r="E200" s="43" t="n">
        <f aca="false">POISSON($A200,Model!E$16,TRUE())</f>
        <v>1</v>
      </c>
      <c r="H200" s="43" t="n">
        <f aca="false">POISSON($A200,Model!$C$46,TRUE())</f>
        <v>1</v>
      </c>
      <c r="I200" s="43" t="n">
        <f aca="false">POISSON($A200,Model!$C$47,TRUE())</f>
        <v>1</v>
      </c>
      <c r="J200" s="43" t="n">
        <f aca="false">POISSON($A200,Model!$C$48,TRUE())</f>
        <v>1</v>
      </c>
      <c r="K200" s="43" t="n">
        <f aca="false">POISSON($A200,Model!$C$53,TRUE())</f>
        <v>1</v>
      </c>
      <c r="L200" s="43" t="n">
        <f aca="false">POISSON($A200,Model!$C$54,TRUE())</f>
        <v>1</v>
      </c>
      <c r="M200" s="43" t="n">
        <f aca="false">POISSON($A200,Model!$C$55,TRUE())</f>
        <v>1</v>
      </c>
      <c r="N200" s="43" t="n">
        <f aca="false">POISSON($A200,Model!$G$53,TRUE())</f>
        <v>1</v>
      </c>
      <c r="O200" s="43" t="n">
        <f aca="false">POISSON($A200,Model!$G$54,TRUE())</f>
        <v>1</v>
      </c>
      <c r="P200" s="43" t="n">
        <f aca="false">POISSON($A200,Model!$G$55,TRUE())</f>
        <v>1</v>
      </c>
    </row>
    <row r="201" customFormat="false" ht="15" hidden="false" customHeight="false" outlineLevel="0" collapsed="false">
      <c r="A201" s="7" t="n">
        <v>197</v>
      </c>
      <c r="B201" s="43" t="n">
        <f aca="false">POISSON($A201,Model!B$16,TRUE())</f>
        <v>1</v>
      </c>
      <c r="C201" s="43" t="n">
        <f aca="false">POISSON($A201,Model!C$16,TRUE())</f>
        <v>1</v>
      </c>
      <c r="D201" s="43" t="n">
        <f aca="false">POISSON($A201,Model!D$16,TRUE())</f>
        <v>1</v>
      </c>
      <c r="E201" s="43" t="n">
        <f aca="false">POISSON($A201,Model!E$16,TRUE())</f>
        <v>1</v>
      </c>
      <c r="H201" s="43" t="n">
        <f aca="false">POISSON($A201,Model!$C$46,TRUE())</f>
        <v>1</v>
      </c>
      <c r="I201" s="43" t="n">
        <f aca="false">POISSON($A201,Model!$C$47,TRUE())</f>
        <v>1</v>
      </c>
      <c r="J201" s="43" t="n">
        <f aca="false">POISSON($A201,Model!$C$48,TRUE())</f>
        <v>1</v>
      </c>
      <c r="K201" s="43" t="n">
        <f aca="false">POISSON($A201,Model!$C$53,TRUE())</f>
        <v>1</v>
      </c>
      <c r="L201" s="43" t="n">
        <f aca="false">POISSON($A201,Model!$C$54,TRUE())</f>
        <v>1</v>
      </c>
      <c r="M201" s="43" t="n">
        <f aca="false">POISSON($A201,Model!$C$55,TRUE())</f>
        <v>1</v>
      </c>
      <c r="N201" s="43" t="n">
        <f aca="false">POISSON($A201,Model!$G$53,TRUE())</f>
        <v>1</v>
      </c>
      <c r="O201" s="43" t="n">
        <f aca="false">POISSON($A201,Model!$G$54,TRUE())</f>
        <v>1</v>
      </c>
      <c r="P201" s="43" t="n">
        <f aca="false">POISSON($A201,Model!$G$55,TRUE())</f>
        <v>1</v>
      </c>
    </row>
    <row r="202" customFormat="false" ht="15" hidden="false" customHeight="false" outlineLevel="0" collapsed="false">
      <c r="A202" s="7" t="n">
        <v>198</v>
      </c>
      <c r="B202" s="43" t="n">
        <f aca="false">POISSON($A202,Model!B$16,TRUE())</f>
        <v>1</v>
      </c>
      <c r="C202" s="43" t="n">
        <f aca="false">POISSON($A202,Model!C$16,TRUE())</f>
        <v>1</v>
      </c>
      <c r="D202" s="43" t="n">
        <f aca="false">POISSON($A202,Model!D$16,TRUE())</f>
        <v>1</v>
      </c>
      <c r="E202" s="43" t="n">
        <f aca="false">POISSON($A202,Model!E$16,TRUE())</f>
        <v>1</v>
      </c>
      <c r="H202" s="43" t="n">
        <f aca="false">POISSON($A202,Model!$C$46,TRUE())</f>
        <v>1</v>
      </c>
      <c r="I202" s="43" t="n">
        <f aca="false">POISSON($A202,Model!$C$47,TRUE())</f>
        <v>1</v>
      </c>
      <c r="J202" s="43" t="n">
        <f aca="false">POISSON($A202,Model!$C$48,TRUE())</f>
        <v>1</v>
      </c>
      <c r="K202" s="43" t="n">
        <f aca="false">POISSON($A202,Model!$C$53,TRUE())</f>
        <v>1</v>
      </c>
      <c r="L202" s="43" t="n">
        <f aca="false">POISSON($A202,Model!$C$54,TRUE())</f>
        <v>1</v>
      </c>
      <c r="M202" s="43" t="n">
        <f aca="false">POISSON($A202,Model!$C$55,TRUE())</f>
        <v>1</v>
      </c>
      <c r="N202" s="43" t="n">
        <f aca="false">POISSON($A202,Model!$G$53,TRUE())</f>
        <v>1</v>
      </c>
      <c r="O202" s="43" t="n">
        <f aca="false">POISSON($A202,Model!$G$54,TRUE())</f>
        <v>1</v>
      </c>
      <c r="P202" s="43" t="n">
        <f aca="false">POISSON($A202,Model!$G$55,TRUE())</f>
        <v>1</v>
      </c>
    </row>
    <row r="203" customFormat="false" ht="15" hidden="false" customHeight="false" outlineLevel="0" collapsed="false">
      <c r="A203" s="7" t="n">
        <v>199</v>
      </c>
      <c r="B203" s="43" t="n">
        <f aca="false">POISSON($A203,Model!B$16,TRUE())</f>
        <v>1</v>
      </c>
      <c r="C203" s="43" t="n">
        <f aca="false">POISSON($A203,Model!C$16,TRUE())</f>
        <v>1</v>
      </c>
      <c r="D203" s="43" t="n">
        <f aca="false">POISSON($A203,Model!D$16,TRUE())</f>
        <v>1</v>
      </c>
      <c r="E203" s="43" t="n">
        <f aca="false">POISSON($A203,Model!E$16,TRUE())</f>
        <v>1</v>
      </c>
      <c r="H203" s="43" t="n">
        <f aca="false">POISSON($A203,Model!$C$46,TRUE())</f>
        <v>1</v>
      </c>
      <c r="I203" s="43" t="n">
        <f aca="false">POISSON($A203,Model!$C$47,TRUE())</f>
        <v>1</v>
      </c>
      <c r="J203" s="43" t="n">
        <f aca="false">POISSON($A203,Model!$C$48,TRUE())</f>
        <v>1</v>
      </c>
      <c r="K203" s="43" t="n">
        <f aca="false">POISSON($A203,Model!$C$53,TRUE())</f>
        <v>1</v>
      </c>
      <c r="L203" s="43" t="n">
        <f aca="false">POISSON($A203,Model!$C$54,TRUE())</f>
        <v>1</v>
      </c>
      <c r="M203" s="43" t="n">
        <f aca="false">POISSON($A203,Model!$C$55,TRUE())</f>
        <v>1</v>
      </c>
      <c r="N203" s="43" t="n">
        <f aca="false">POISSON($A203,Model!$G$53,TRUE())</f>
        <v>1</v>
      </c>
      <c r="O203" s="43" t="n">
        <f aca="false">POISSON($A203,Model!$G$54,TRUE())</f>
        <v>1</v>
      </c>
      <c r="P203" s="43" t="n">
        <f aca="false">POISSON($A203,Model!$G$55,TRUE())</f>
        <v>1</v>
      </c>
    </row>
    <row r="204" customFormat="false" ht="15" hidden="false" customHeight="false" outlineLevel="0" collapsed="false">
      <c r="A204" s="7" t="n">
        <v>200</v>
      </c>
      <c r="B204" s="43" t="n">
        <f aca="false">POISSON($A204,Model!B$16,TRUE())</f>
        <v>1</v>
      </c>
      <c r="C204" s="43" t="n">
        <f aca="false">POISSON($A204,Model!C$16,TRUE())</f>
        <v>1</v>
      </c>
      <c r="D204" s="43" t="n">
        <f aca="false">POISSON($A204,Model!D$16,TRUE())</f>
        <v>1</v>
      </c>
      <c r="E204" s="43" t="n">
        <f aca="false">POISSON($A204,Model!E$16,TRUE())</f>
        <v>1</v>
      </c>
      <c r="H204" s="43" t="n">
        <f aca="false">POISSON($A204,Model!$C$46,TRUE())</f>
        <v>1</v>
      </c>
      <c r="I204" s="43" t="n">
        <f aca="false">POISSON($A204,Model!$C$47,TRUE())</f>
        <v>1</v>
      </c>
      <c r="J204" s="43" t="n">
        <f aca="false">POISSON($A204,Model!$C$48,TRUE())</f>
        <v>1</v>
      </c>
      <c r="K204" s="43" t="n">
        <f aca="false">POISSON($A204,Model!$C$53,TRUE())</f>
        <v>1</v>
      </c>
      <c r="L204" s="43" t="n">
        <f aca="false">POISSON($A204,Model!$C$54,TRUE())</f>
        <v>1</v>
      </c>
      <c r="M204" s="43" t="n">
        <f aca="false">POISSON($A204,Model!$C$55,TRUE())</f>
        <v>1</v>
      </c>
      <c r="N204" s="43" t="n">
        <f aca="false">POISSON($A204,Model!$G$53,TRUE())</f>
        <v>1</v>
      </c>
      <c r="O204" s="43" t="n">
        <f aca="false">POISSON($A204,Model!$G$54,TRUE())</f>
        <v>1</v>
      </c>
      <c r="P204" s="43" t="n">
        <f aca="false">POISSON($A204,Model!$G$55,TRUE())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22"/>
    <col collapsed="false" customWidth="true" hidden="false" outlineLevel="0" max="3" min="3" style="0" width="14"/>
    <col collapsed="false" customWidth="true" hidden="false" outlineLevel="0" max="4" min="4" style="0" width="30"/>
    <col collapsed="false" customWidth="true" hidden="false" outlineLevel="0" max="5" min="5" style="0" width="60"/>
    <col collapsed="false" customWidth="true" hidden="false" outlineLevel="0" max="6" min="6" style="0" width="28"/>
  </cols>
  <sheetData>
    <row r="1" customFormat="false" ht="15" hidden="false" customHeight="false" outlineLevel="0" collapsed="false">
      <c r="A1" s="42" t="s">
        <v>131</v>
      </c>
    </row>
    <row r="3" customFormat="false" ht="15" hidden="false" customHeight="false" outlineLevel="0" collapsed="false">
      <c r="A3" s="3" t="s">
        <v>3</v>
      </c>
      <c r="B3" s="3" t="s">
        <v>132</v>
      </c>
      <c r="C3" s="3" t="s">
        <v>133</v>
      </c>
      <c r="D3" s="3" t="s">
        <v>134</v>
      </c>
      <c r="E3" s="3" t="s">
        <v>135</v>
      </c>
      <c r="F3" s="3" t="s">
        <v>136</v>
      </c>
    </row>
    <row r="4" customFormat="false" ht="15" hidden="false" customHeight="false" outlineLevel="0" collapsed="false">
      <c r="A4" s="44" t="s">
        <v>4</v>
      </c>
      <c r="B4" s="44" t="s">
        <v>137</v>
      </c>
      <c r="C4" s="45" t="n">
        <f aca="false">Model!B6</f>
        <v>500</v>
      </c>
      <c r="D4" s="46" t="s">
        <v>138</v>
      </c>
      <c r="E4" s="44" t="s">
        <v>139</v>
      </c>
      <c r="F4" s="44" t="s">
        <v>140</v>
      </c>
    </row>
    <row r="5" customFormat="false" ht="35.05" hidden="false" customHeight="false" outlineLevel="0" collapsed="false">
      <c r="A5" s="44" t="s">
        <v>4</v>
      </c>
      <c r="B5" s="44" t="s">
        <v>141</v>
      </c>
      <c r="C5" s="47" t="n">
        <f aca="false">Model!B7</f>
        <v>0.0136</v>
      </c>
      <c r="D5" s="44" t="s">
        <v>142</v>
      </c>
      <c r="E5" s="44" t="s">
        <v>143</v>
      </c>
      <c r="F5" s="44" t="s">
        <v>144</v>
      </c>
    </row>
    <row r="6" customFormat="false" ht="15" hidden="false" customHeight="false" outlineLevel="0" collapsed="false">
      <c r="A6" s="44" t="s">
        <v>4</v>
      </c>
      <c r="B6" s="44" t="s">
        <v>145</v>
      </c>
      <c r="C6" s="48" t="n">
        <f aca="false">Model!B8</f>
        <v>12</v>
      </c>
      <c r="D6" s="46" t="s">
        <v>146</v>
      </c>
      <c r="E6" s="44" t="s">
        <v>147</v>
      </c>
      <c r="F6" s="44" t="s">
        <v>148</v>
      </c>
    </row>
    <row r="7" customFormat="false" ht="15" hidden="false" customHeight="false" outlineLevel="0" collapsed="false">
      <c r="A7" s="44" t="s">
        <v>4</v>
      </c>
      <c r="B7" s="44" t="s">
        <v>149</v>
      </c>
      <c r="C7" s="49" t="n">
        <f aca="false">Model!B9</f>
        <v>0.95</v>
      </c>
      <c r="D7" s="44" t="s">
        <v>150</v>
      </c>
      <c r="E7" s="44" t="s">
        <v>151</v>
      </c>
      <c r="F7" s="44" t="s">
        <v>140</v>
      </c>
    </row>
    <row r="8" customFormat="false" ht="57.45" hidden="false" customHeight="false" outlineLevel="0" collapsed="false">
      <c r="A8" s="44" t="s">
        <v>4</v>
      </c>
      <c r="B8" s="44" t="s">
        <v>19</v>
      </c>
      <c r="C8" s="50" t="n">
        <f aca="false">Model!B10</f>
        <v>1079.99</v>
      </c>
      <c r="D8" s="44" t="s">
        <v>152</v>
      </c>
      <c r="E8" s="44" t="s">
        <v>153</v>
      </c>
      <c r="F8" s="44" t="s">
        <v>154</v>
      </c>
    </row>
    <row r="9" customFormat="false" ht="15" hidden="false" customHeight="false" outlineLevel="0" collapsed="false">
      <c r="A9" s="44" t="s">
        <v>5</v>
      </c>
      <c r="B9" s="44" t="s">
        <v>137</v>
      </c>
      <c r="C9" s="45" t="n">
        <f aca="false">Model!C6</f>
        <v>400</v>
      </c>
      <c r="D9" s="46" t="s">
        <v>138</v>
      </c>
      <c r="E9" s="44" t="s">
        <v>155</v>
      </c>
      <c r="F9" s="44" t="s">
        <v>140</v>
      </c>
    </row>
    <row r="10" customFormat="false" ht="57.45" hidden="false" customHeight="false" outlineLevel="0" collapsed="false">
      <c r="A10" s="44" t="s">
        <v>5</v>
      </c>
      <c r="B10" s="44" t="s">
        <v>156</v>
      </c>
      <c r="C10" s="45" t="n">
        <f aca="false">Model!C11</f>
        <v>500000</v>
      </c>
      <c r="D10" s="44" t="s">
        <v>157</v>
      </c>
      <c r="E10" s="44" t="s">
        <v>158</v>
      </c>
      <c r="F10" s="44" t="s">
        <v>144</v>
      </c>
    </row>
    <row r="11" customFormat="false" ht="23.85" hidden="false" customHeight="false" outlineLevel="0" collapsed="false">
      <c r="A11" s="44" t="s">
        <v>5</v>
      </c>
      <c r="B11" s="44" t="s">
        <v>141</v>
      </c>
      <c r="C11" s="47" t="n">
        <f aca="false">Model!C7</f>
        <v>0.017367417183111</v>
      </c>
      <c r="D11" s="44" t="s">
        <v>159</v>
      </c>
      <c r="E11" s="44" t="s">
        <v>160</v>
      </c>
      <c r="F11" s="44" t="s">
        <v>144</v>
      </c>
    </row>
    <row r="12" customFormat="false" ht="15" hidden="false" customHeight="false" outlineLevel="0" collapsed="false">
      <c r="A12" s="44" t="s">
        <v>5</v>
      </c>
      <c r="B12" s="44" t="s">
        <v>145</v>
      </c>
      <c r="C12" s="48" t="n">
        <f aca="false">Model!C8</f>
        <v>8</v>
      </c>
      <c r="D12" s="46" t="s">
        <v>161</v>
      </c>
      <c r="E12" s="44" t="s">
        <v>162</v>
      </c>
      <c r="F12" s="44" t="s">
        <v>148</v>
      </c>
    </row>
    <row r="13" customFormat="false" ht="15" hidden="false" customHeight="false" outlineLevel="0" collapsed="false">
      <c r="A13" s="44" t="s">
        <v>5</v>
      </c>
      <c r="B13" s="44" t="s">
        <v>149</v>
      </c>
      <c r="C13" s="49" t="n">
        <f aca="false">Model!C9</f>
        <v>0.95</v>
      </c>
      <c r="D13" s="44" t="s">
        <v>150</v>
      </c>
      <c r="E13" s="44" t="s">
        <v>163</v>
      </c>
      <c r="F13" s="44" t="s">
        <v>140</v>
      </c>
    </row>
    <row r="14" customFormat="false" ht="57.45" hidden="false" customHeight="false" outlineLevel="0" collapsed="false">
      <c r="A14" s="44" t="s">
        <v>5</v>
      </c>
      <c r="B14" s="44" t="s">
        <v>19</v>
      </c>
      <c r="C14" s="50" t="n">
        <f aca="false">Model!C10</f>
        <v>531.16</v>
      </c>
      <c r="D14" s="44" t="s">
        <v>164</v>
      </c>
      <c r="E14" s="44" t="s">
        <v>165</v>
      </c>
      <c r="F14" s="44" t="s">
        <v>154</v>
      </c>
    </row>
    <row r="15" customFormat="false" ht="15" hidden="false" customHeight="false" outlineLevel="0" collapsed="false">
      <c r="A15" s="44" t="s">
        <v>6</v>
      </c>
      <c r="B15" s="44" t="s">
        <v>137</v>
      </c>
      <c r="C15" s="45" t="n">
        <f aca="false">Model!D6</f>
        <v>1000</v>
      </c>
      <c r="D15" s="46" t="s">
        <v>138</v>
      </c>
      <c r="E15" s="44" t="s">
        <v>155</v>
      </c>
      <c r="F15" s="44" t="s">
        <v>140</v>
      </c>
    </row>
    <row r="16" customFormat="false" ht="57.45" hidden="false" customHeight="false" outlineLevel="0" collapsed="false">
      <c r="A16" s="44" t="s">
        <v>6</v>
      </c>
      <c r="B16" s="44" t="s">
        <v>141</v>
      </c>
      <c r="C16" s="47" t="n">
        <f aca="false">Model!D7</f>
        <v>0.02</v>
      </c>
      <c r="D16" s="46" t="s">
        <v>166</v>
      </c>
      <c r="E16" s="44" t="s">
        <v>167</v>
      </c>
      <c r="F16" s="44" t="s">
        <v>168</v>
      </c>
    </row>
    <row r="17" customFormat="false" ht="15" hidden="false" customHeight="false" outlineLevel="0" collapsed="false">
      <c r="A17" s="44" t="s">
        <v>6</v>
      </c>
      <c r="B17" s="44" t="s">
        <v>145</v>
      </c>
      <c r="C17" s="48" t="n">
        <f aca="false">Model!D8</f>
        <v>16</v>
      </c>
      <c r="D17" s="46" t="s">
        <v>161</v>
      </c>
      <c r="E17" s="44" t="s">
        <v>162</v>
      </c>
      <c r="F17" s="44" t="s">
        <v>148</v>
      </c>
    </row>
    <row r="18" customFormat="false" ht="15" hidden="false" customHeight="false" outlineLevel="0" collapsed="false">
      <c r="A18" s="44" t="s">
        <v>6</v>
      </c>
      <c r="B18" s="44" t="s">
        <v>149</v>
      </c>
      <c r="C18" s="49" t="n">
        <f aca="false">Model!D9</f>
        <v>0.95</v>
      </c>
      <c r="D18" s="44" t="s">
        <v>150</v>
      </c>
      <c r="E18" s="44" t="s">
        <v>163</v>
      </c>
      <c r="F18" s="44" t="s">
        <v>140</v>
      </c>
    </row>
    <row r="19" customFormat="false" ht="23.85" hidden="false" customHeight="false" outlineLevel="0" collapsed="false">
      <c r="A19" s="44" t="s">
        <v>6</v>
      </c>
      <c r="B19" s="44" t="s">
        <v>169</v>
      </c>
      <c r="C19" s="50" t="n">
        <f aca="false">Model!D10</f>
        <v>919</v>
      </c>
      <c r="D19" s="44" t="s">
        <v>170</v>
      </c>
      <c r="E19" s="44" t="s">
        <v>171</v>
      </c>
      <c r="F19" s="44" t="s">
        <v>144</v>
      </c>
    </row>
    <row r="20" customFormat="false" ht="46.25" hidden="false" customHeight="false" outlineLevel="0" collapsed="false">
      <c r="A20" s="44" t="s">
        <v>6</v>
      </c>
      <c r="B20" s="44" t="s">
        <v>172</v>
      </c>
      <c r="C20" s="50" t="n">
        <f aca="false">Model!I7</f>
        <v>919</v>
      </c>
      <c r="D20" s="44" t="s">
        <v>173</v>
      </c>
      <c r="E20" s="44" t="s">
        <v>174</v>
      </c>
      <c r="F20" s="44" t="s">
        <v>154</v>
      </c>
    </row>
    <row r="21" customFormat="false" ht="46.25" hidden="false" customHeight="false" outlineLevel="0" collapsed="false">
      <c r="A21" s="44" t="s">
        <v>6</v>
      </c>
      <c r="B21" s="44" t="s">
        <v>175</v>
      </c>
      <c r="C21" s="50" t="n">
        <f aca="false">Model!I8</f>
        <v>4141.54</v>
      </c>
      <c r="D21" s="44" t="s">
        <v>176</v>
      </c>
      <c r="E21" s="44" t="s">
        <v>177</v>
      </c>
      <c r="F21" s="44" t="s">
        <v>154</v>
      </c>
    </row>
    <row r="22" customFormat="false" ht="15" hidden="false" customHeight="false" outlineLevel="0" collapsed="false">
      <c r="A22" s="44" t="s">
        <v>7</v>
      </c>
      <c r="B22" s="44" t="s">
        <v>31</v>
      </c>
      <c r="C22" s="45" t="n">
        <f aca="false">Model!I16</f>
        <v>1024</v>
      </c>
      <c r="D22" s="46" t="s">
        <v>146</v>
      </c>
      <c r="E22" s="44" t="s">
        <v>178</v>
      </c>
      <c r="F22" s="44" t="s">
        <v>140</v>
      </c>
    </row>
    <row r="23" customFormat="false" ht="23.85" hidden="false" customHeight="false" outlineLevel="0" collapsed="false">
      <c r="A23" s="44" t="s">
        <v>7</v>
      </c>
      <c r="B23" s="44" t="s">
        <v>179</v>
      </c>
      <c r="C23" s="51" t="str">
        <f aca="false">Model!I17</f>
        <v>Module</v>
      </c>
      <c r="D23" s="44" t="s">
        <v>150</v>
      </c>
      <c r="E23" s="44" t="s">
        <v>180</v>
      </c>
      <c r="F23" s="44" t="s">
        <v>140</v>
      </c>
    </row>
    <row r="24" customFormat="false" ht="79.85" hidden="false" customHeight="false" outlineLevel="0" collapsed="false">
      <c r="A24" s="44" t="s">
        <v>7</v>
      </c>
      <c r="B24" s="44" t="s">
        <v>181</v>
      </c>
      <c r="C24" s="48" t="n">
        <f aca="false">Model!I20+Model!I21</f>
        <v>220</v>
      </c>
      <c r="D24" s="44" t="s">
        <v>182</v>
      </c>
      <c r="E24" s="44" t="s">
        <v>183</v>
      </c>
      <c r="F24" s="44" t="s">
        <v>144</v>
      </c>
    </row>
    <row r="25" customFormat="false" ht="35.05" hidden="false" customHeight="false" outlineLevel="0" collapsed="false">
      <c r="A25" s="44" t="s">
        <v>7</v>
      </c>
      <c r="B25" s="44" t="s">
        <v>79</v>
      </c>
      <c r="C25" s="47" t="n">
        <f aca="false">Model!I24</f>
        <v>0.0907615379050926</v>
      </c>
      <c r="D25" s="44" t="s">
        <v>184</v>
      </c>
      <c r="E25" s="44" t="s">
        <v>185</v>
      </c>
      <c r="F25" s="44" t="s">
        <v>186</v>
      </c>
    </row>
    <row r="26" customFormat="false" ht="46.25" hidden="false" customHeight="false" outlineLevel="0" collapsed="false">
      <c r="A26" s="44" t="s">
        <v>7</v>
      </c>
      <c r="B26" s="44" t="s">
        <v>187</v>
      </c>
      <c r="C26" s="52" t="n">
        <f aca="false">Model!I19</f>
        <v>179000</v>
      </c>
      <c r="D26" s="44" t="s">
        <v>188</v>
      </c>
      <c r="E26" s="44" t="s">
        <v>189</v>
      </c>
      <c r="F26" s="44" t="s">
        <v>154</v>
      </c>
    </row>
    <row r="27" customFormat="false" ht="23.85" hidden="false" customHeight="false" outlineLevel="0" collapsed="false">
      <c r="A27" s="44" t="s">
        <v>7</v>
      </c>
      <c r="B27" s="44" t="s">
        <v>190</v>
      </c>
      <c r="C27" s="52" t="n">
        <f aca="false">Model!I19/Model!I18</f>
        <v>22375</v>
      </c>
      <c r="D27" s="44" t="s">
        <v>191</v>
      </c>
      <c r="E27" s="44" t="s">
        <v>192</v>
      </c>
      <c r="F27" s="44" t="s">
        <v>144</v>
      </c>
    </row>
    <row r="28" customFormat="false" ht="15" hidden="false" customHeight="false" outlineLevel="0" collapsed="false">
      <c r="A28" s="44" t="s">
        <v>7</v>
      </c>
      <c r="B28" s="44" t="s">
        <v>145</v>
      </c>
      <c r="C28" s="48" t="n">
        <f aca="false">Model!E8</f>
        <v>8</v>
      </c>
      <c r="D28" s="46" t="s">
        <v>161</v>
      </c>
      <c r="E28" s="44" t="s">
        <v>193</v>
      </c>
      <c r="F28" s="44" t="s">
        <v>148</v>
      </c>
    </row>
    <row r="29" customFormat="false" ht="15" hidden="false" customHeight="false" outlineLevel="0" collapsed="false">
      <c r="A29" s="44" t="s">
        <v>7</v>
      </c>
      <c r="B29" s="44" t="s">
        <v>149</v>
      </c>
      <c r="C29" s="49" t="n">
        <f aca="false">Model!E9</f>
        <v>0.95</v>
      </c>
      <c r="D29" s="44" t="s">
        <v>150</v>
      </c>
      <c r="E29" s="44" t="s">
        <v>163</v>
      </c>
      <c r="F29" s="44" t="s">
        <v>140</v>
      </c>
    </row>
    <row r="30" customFormat="false" ht="15" hidden="false" customHeight="false" outlineLevel="0" collapsed="false">
      <c r="A30" s="44" t="s">
        <v>194</v>
      </c>
      <c r="B30" s="44" t="s">
        <v>195</v>
      </c>
      <c r="C30" s="48" t="n">
        <f aca="false">Model!B12</f>
        <v>52</v>
      </c>
      <c r="D30" s="44" t="s">
        <v>196</v>
      </c>
      <c r="E30" s="44" t="s">
        <v>197</v>
      </c>
      <c r="F30" s="44" t="s">
        <v>144</v>
      </c>
    </row>
    <row r="31" customFormat="false" ht="15" hidden="false" customHeight="false" outlineLevel="0" collapsed="false">
      <c r="A31" s="44" t="s">
        <v>194</v>
      </c>
      <c r="B31" s="44" t="s">
        <v>198</v>
      </c>
      <c r="C31" s="45" t="n">
        <f aca="false">Model!B13</f>
        <v>8760</v>
      </c>
      <c r="D31" s="44" t="s">
        <v>196</v>
      </c>
      <c r="E31" s="44" t="s">
        <v>199</v>
      </c>
      <c r="F31" s="44" t="s">
        <v>144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5" min="2" style="0" width="22"/>
  </cols>
  <sheetData>
    <row r="1" customFormat="false" ht="15" hidden="false" customHeight="false" outlineLevel="0" collapsed="false">
      <c r="A1" s="42" t="s">
        <v>200</v>
      </c>
    </row>
    <row r="3" customFormat="false" ht="15" hidden="false" customHeight="false" outlineLevel="0" collapsed="false">
      <c r="A3" s="38" t="s">
        <v>201</v>
      </c>
    </row>
    <row r="4" customFormat="false" ht="15" hidden="false" customHeight="false" outlineLevel="0" collapsed="false">
      <c r="A4" s="0" t="s">
        <v>137</v>
      </c>
      <c r="B4" s="53" t="n">
        <v>500</v>
      </c>
      <c r="C4" s="2" t="s">
        <v>202</v>
      </c>
    </row>
    <row r="5" customFormat="false" ht="15" hidden="false" customHeight="false" outlineLevel="0" collapsed="false">
      <c r="A5" s="0" t="s">
        <v>203</v>
      </c>
      <c r="B5" s="54" t="n">
        <v>0.0136</v>
      </c>
    </row>
    <row r="6" customFormat="false" ht="15" hidden="false" customHeight="false" outlineLevel="0" collapsed="false">
      <c r="A6" s="0" t="s">
        <v>145</v>
      </c>
      <c r="B6" s="55" t="n">
        <v>12</v>
      </c>
    </row>
    <row r="7" customFormat="false" ht="15" hidden="false" customHeight="false" outlineLevel="0" collapsed="false">
      <c r="A7" s="0" t="s">
        <v>195</v>
      </c>
      <c r="B7" s="55" t="n">
        <v>52</v>
      </c>
    </row>
    <row r="8" customFormat="false" ht="15" hidden="false" customHeight="false" outlineLevel="0" collapsed="false">
      <c r="A8" s="0" t="s">
        <v>149</v>
      </c>
      <c r="B8" s="56" t="n">
        <v>0.95</v>
      </c>
    </row>
    <row r="10" customFormat="false" ht="15" hidden="false" customHeight="false" outlineLevel="0" collapsed="false">
      <c r="A10" s="3" t="s">
        <v>204</v>
      </c>
      <c r="B10" s="3" t="s">
        <v>205</v>
      </c>
      <c r="C10" s="3" t="s">
        <v>206</v>
      </c>
      <c r="D10" s="3" t="s">
        <v>207</v>
      </c>
      <c r="E10" s="3" t="s">
        <v>208</v>
      </c>
    </row>
    <row r="11" customFormat="false" ht="15" hidden="false" customHeight="false" outlineLevel="0" collapsed="false">
      <c r="A11" s="0" t="s">
        <v>28</v>
      </c>
      <c r="B11" s="57" t="n">
        <f aca="false">B4*B5</f>
        <v>6.8</v>
      </c>
      <c r="C11" s="58" t="n">
        <v>6.8</v>
      </c>
      <c r="D11" s="59" t="n">
        <v>0.001</v>
      </c>
      <c r="E11" s="38" t="str">
        <f aca="false">IF(ABS(B11-C11)&lt;=D11,"PASS","FAIL")</f>
        <v>PASS</v>
      </c>
    </row>
    <row r="12" customFormat="false" ht="15" hidden="false" customHeight="false" outlineLevel="0" collapsed="false">
      <c r="A12" s="0" t="s">
        <v>209</v>
      </c>
      <c r="B12" s="60" t="n">
        <f aca="false">B11*B6/B7</f>
        <v>1.56923076923077</v>
      </c>
      <c r="C12" s="61" t="n">
        <v>1.57</v>
      </c>
      <c r="D12" s="59" t="n">
        <v>0.01</v>
      </c>
      <c r="E12" s="38" t="str">
        <f aca="false">IF(ABS(B12-C12)&lt;=D12,"PASS","FAIL")</f>
        <v>PASS</v>
      </c>
    </row>
    <row r="13" customFormat="false" ht="15" hidden="false" customHeight="false" outlineLevel="0" collapsed="false">
      <c r="A13" s="0" t="s">
        <v>210</v>
      </c>
      <c r="B13" s="62" t="n">
        <f aca="false">IF(POISSON(3,B12,TRUE())&gt;=B8,4,IF(POISSON(4,B12,TRUE())&gt;=B8,5,99))</f>
        <v>5</v>
      </c>
      <c r="C13" s="55" t="n">
        <v>5</v>
      </c>
      <c r="D13" s="59" t="n">
        <v>0</v>
      </c>
      <c r="E13" s="38" t="str">
        <f aca="false">IF(ABS(B13-C13)&lt;=D13,"PASS","FAIL")</f>
        <v>PASS</v>
      </c>
    </row>
    <row r="14" customFormat="false" ht="15" hidden="false" customHeight="false" outlineLevel="0" collapsed="false">
      <c r="A14" s="0" t="s">
        <v>211</v>
      </c>
      <c r="B14" s="62" t="n">
        <f aca="false">IF(AND(Model!B6=B4,Model!B7=B5,Model!B8=B6,Model!B9=B8),Model!B17,B13)</f>
        <v>5</v>
      </c>
      <c r="C14" s="55" t="n">
        <v>5</v>
      </c>
      <c r="D14" s="59" t="n">
        <v>0</v>
      </c>
      <c r="E14" s="38" t="str">
        <f aca="false">IF(ABS(B14-C14)&lt;=D14,"PASS","FAIL")</f>
        <v>PASS</v>
      </c>
    </row>
    <row r="15" customFormat="false" ht="15" hidden="false" customHeight="false" outlineLevel="0" collapsed="false">
      <c r="A15" s="0" t="s">
        <v>212</v>
      </c>
      <c r="B15" s="63" t="n">
        <f aca="false">1-EXP(-8760/500000)</f>
        <v>0.017367417183111</v>
      </c>
      <c r="C15" s="64" t="n">
        <v>0.01737</v>
      </c>
      <c r="D15" s="59" t="n">
        <v>1E-005</v>
      </c>
      <c r="E15" s="38" t="str">
        <f aca="false">IF(ABS(B15-C15)&lt;=D15,"PASS","FAIL")</f>
        <v>PASS</v>
      </c>
    </row>
    <row r="19" customFormat="false" ht="15" hidden="false" customHeight="false" outlineLevel="0" collapsed="false">
      <c r="A19" s="2" t="s">
        <v>213</v>
      </c>
    </row>
    <row r="20" customFormat="false" ht="15" hidden="false" customHeight="false" outlineLevel="0" collapsed="false">
      <c r="A20" s="2" t="s">
        <v>214</v>
      </c>
    </row>
    <row r="22" customFormat="false" ht="15" hidden="false" customHeight="false" outlineLevel="0" collapsed="false">
      <c r="A22" s="3" t="s">
        <v>215</v>
      </c>
      <c r="B22" s="3" t="s">
        <v>216</v>
      </c>
      <c r="C22" s="3" t="s">
        <v>217</v>
      </c>
      <c r="D22" s="3" t="s">
        <v>207</v>
      </c>
      <c r="E22" s="3" t="s">
        <v>208</v>
      </c>
    </row>
    <row r="23" customFormat="false" ht="15" hidden="false" customHeight="false" outlineLevel="0" collapsed="false">
      <c r="A23" s="0" t="s">
        <v>218</v>
      </c>
      <c r="B23" s="62" t="n">
        <f aca="false">Model!B17</f>
        <v>5</v>
      </c>
      <c r="C23" s="55" t="n">
        <v>5</v>
      </c>
      <c r="D23" s="59" t="n">
        <v>0</v>
      </c>
      <c r="E23" s="38" t="str">
        <f aca="false">IF(ABS(B23-C23)&lt;=D23,"PASS","FAIL")</f>
        <v>PASS</v>
      </c>
    </row>
    <row r="24" customFormat="false" ht="15" hidden="false" customHeight="false" outlineLevel="0" collapsed="false">
      <c r="A24" s="0" t="s">
        <v>219</v>
      </c>
      <c r="B24" s="62" t="n">
        <f aca="false">COUNTIF(Poisson_Table!B4:B204,"&lt;"&amp;Model!B9)</f>
        <v>4</v>
      </c>
      <c r="C24" s="55" t="n">
        <v>4</v>
      </c>
      <c r="D24" s="59" t="n">
        <v>0</v>
      </c>
      <c r="E24" s="38" t="str">
        <f aca="false">IF(ABS(B24-C24)&lt;=D24,"PASS","FAIL")</f>
        <v>PASS</v>
      </c>
    </row>
    <row r="25" customFormat="false" ht="15" hidden="false" customHeight="false" outlineLevel="0" collapsed="false">
      <c r="A25" s="0" t="s">
        <v>220</v>
      </c>
      <c r="B25" s="62" t="n">
        <f aca="false">Model!D27-Model!D17</f>
        <v>1</v>
      </c>
      <c r="C25" s="55" t="n">
        <v>1</v>
      </c>
      <c r="D25" s="59" t="n">
        <v>0</v>
      </c>
      <c r="E25" s="38" t="str">
        <f aca="false">IF(ABS(B25-C25)&lt;=D25,"PASS","FAIL")</f>
        <v>PASS</v>
      </c>
    </row>
    <row r="26" customFormat="false" ht="15" hidden="false" customHeight="false" outlineLevel="0" collapsed="false">
      <c r="A26" s="0" t="s">
        <v>221</v>
      </c>
      <c r="B26" s="65" t="n">
        <f aca="false">Model!B41</f>
        <v>15508.95</v>
      </c>
      <c r="C26" s="66" t="n">
        <v>15508.95</v>
      </c>
      <c r="D26" s="59" t="n">
        <v>0.01</v>
      </c>
      <c r="E26" s="38" t="str">
        <f aca="false">IF(ABS(B26-C26)&lt;=D26,"PASS","FAIL")</f>
        <v>PASS</v>
      </c>
    </row>
    <row r="27" customFormat="false" ht="15" hidden="false" customHeight="false" outlineLevel="0" collapsed="false">
      <c r="A27" s="0" t="s">
        <v>222</v>
      </c>
      <c r="B27" s="65" t="n">
        <f aca="false">Model!C41</f>
        <v>50956.89</v>
      </c>
      <c r="C27" s="66" t="n">
        <v>50956.89</v>
      </c>
      <c r="D27" s="59" t="n">
        <v>0.01</v>
      </c>
      <c r="E27" s="38" t="str">
        <f aca="false">IF(ABS(B27-C27)&lt;=D27,"PASS","FAIL")</f>
        <v>PASS</v>
      </c>
    </row>
    <row r="28" customFormat="false" ht="15" hidden="false" customHeight="false" outlineLevel="0" collapsed="false">
      <c r="A28" s="2" t="s">
        <v>223</v>
      </c>
    </row>
    <row r="29" customFormat="false" ht="15" hidden="false" customHeight="false" outlineLevel="0" collapsed="false">
      <c r="A29" s="2" t="s">
        <v>224</v>
      </c>
    </row>
    <row r="31" customFormat="false" ht="15" hidden="false" customHeight="false" outlineLevel="0" collapsed="false">
      <c r="A31" s="3" t="s">
        <v>225</v>
      </c>
      <c r="B31" s="3" t="s">
        <v>216</v>
      </c>
      <c r="C31" s="3" t="s">
        <v>217</v>
      </c>
      <c r="D31" s="3" t="s">
        <v>207</v>
      </c>
      <c r="E31" s="3" t="s">
        <v>208</v>
      </c>
    </row>
    <row r="32" customFormat="false" ht="15" hidden="false" customHeight="false" outlineLevel="0" collapsed="false">
      <c r="A32" s="0" t="s">
        <v>226</v>
      </c>
      <c r="B32" s="67" t="n">
        <f aca="false">Model!I24</f>
        <v>0.0907615379050926</v>
      </c>
      <c r="C32" s="68" t="n">
        <v>0.090762</v>
      </c>
      <c r="D32" s="59" t="n">
        <v>1E-006</v>
      </c>
      <c r="E32" s="38" t="str">
        <f aca="false">IF(ABS(B32-C32)&lt;=D32,"PASS","FAIL")</f>
        <v>PASS</v>
      </c>
    </row>
    <row r="33" customFormat="false" ht="15" hidden="false" customHeight="false" outlineLevel="0" collapsed="false">
      <c r="A33" s="0" t="s">
        <v>227</v>
      </c>
      <c r="B33" s="67" t="n">
        <f aca="false">Model!F55</f>
        <v>0.532886531392987</v>
      </c>
      <c r="C33" s="68" t="n">
        <v>0.532887</v>
      </c>
      <c r="D33" s="59" t="n">
        <v>1E-006</v>
      </c>
      <c r="E33" s="38" t="str">
        <f aca="false">IF(ABS(B33-C33)&lt;=D33,"PASS","FAIL")</f>
        <v>PASS</v>
      </c>
    </row>
    <row r="34" customFormat="false" ht="15" hidden="false" customHeight="false" outlineLevel="0" collapsed="false">
      <c r="A34" s="0" t="s">
        <v>228</v>
      </c>
      <c r="B34" s="62" t="n">
        <f aca="false">Model!D55</f>
        <v>22</v>
      </c>
      <c r="C34" s="55" t="n">
        <v>22</v>
      </c>
      <c r="D34" s="59" t="n">
        <v>0</v>
      </c>
      <c r="E34" s="38" t="str">
        <f aca="false">IF(ABS(B34-C34)&lt;=D34,"PASS","FAIL")</f>
        <v>PASS</v>
      </c>
    </row>
    <row r="35" customFormat="false" ht="15" hidden="false" customHeight="false" outlineLevel="0" collapsed="false">
      <c r="A35" s="0" t="s">
        <v>229</v>
      </c>
      <c r="B35" s="69" t="n">
        <f aca="false">Model!E55</f>
        <v>492250</v>
      </c>
      <c r="C35" s="70" t="n">
        <v>492250</v>
      </c>
      <c r="D35" s="59" t="n">
        <v>0.01</v>
      </c>
      <c r="E35" s="38" t="str">
        <f aca="false">IF(ABS(B35-C35)&lt;=D35,"PASS","FAIL")</f>
        <v>PASS</v>
      </c>
    </row>
    <row r="36" customFormat="false" ht="15" hidden="false" customHeight="false" outlineLevel="0" collapsed="false">
      <c r="A36" s="0" t="s">
        <v>230</v>
      </c>
      <c r="B36" s="62" t="n">
        <f aca="false">Model!H55</f>
        <v>17</v>
      </c>
      <c r="C36" s="55" t="n">
        <v>17</v>
      </c>
      <c r="D36" s="59" t="n">
        <v>0</v>
      </c>
      <c r="E36" s="38" t="str">
        <f aca="false">IF(ABS(B36-C36)&lt;=D36,"PASS","FAIL")</f>
        <v>PASS</v>
      </c>
    </row>
    <row r="37" customFormat="false" ht="15" hidden="false" customHeight="false" outlineLevel="0" collapsed="false">
      <c r="A37" s="0" t="s">
        <v>231</v>
      </c>
      <c r="B37" s="69" t="n">
        <f aca="false">Model!I55</f>
        <v>3043000</v>
      </c>
      <c r="C37" s="70" t="n">
        <v>3043000</v>
      </c>
      <c r="D37" s="59" t="n">
        <v>0.01</v>
      </c>
      <c r="E37" s="38" t="str">
        <f aca="false">IF(ABS(B37-C37)&lt;=D37,"PASS","FAIL")</f>
        <v>PASS</v>
      </c>
    </row>
    <row r="38" customFormat="false" ht="15" hidden="false" customHeight="false" outlineLevel="0" collapsed="false">
      <c r="A38" s="0" t="s">
        <v>232</v>
      </c>
      <c r="B38" s="62" t="n">
        <f aca="false">Model!E17</f>
        <v>22</v>
      </c>
      <c r="C38" s="55" t="n">
        <v>22</v>
      </c>
      <c r="D38" s="59" t="n">
        <v>0</v>
      </c>
      <c r="E38" s="38" t="str">
        <f aca="false">IF(ABS(B38-C38)&lt;=D38,"PASS","FAIL")</f>
        <v>PASS</v>
      </c>
    </row>
    <row r="39" customFormat="false" ht="15" hidden="false" customHeight="false" outlineLevel="0" collapsed="false">
      <c r="A39" s="0" t="s">
        <v>233</v>
      </c>
      <c r="B39" s="65" t="n">
        <f aca="false">Model!B42</f>
        <v>509883.59</v>
      </c>
      <c r="C39" s="66" t="n">
        <v>509883.59</v>
      </c>
      <c r="D39" s="59" t="n">
        <v>0.01</v>
      </c>
      <c r="E39" s="38" t="str">
        <f aca="false">IF(ABS(B39-C39)&lt;=D39,"PASS","FAIL")</f>
        <v>PASS</v>
      </c>
    </row>
    <row r="40" customFormat="false" ht="15" hidden="false" customHeight="false" outlineLevel="0" collapsed="false">
      <c r="A40" s="0" t="s">
        <v>234</v>
      </c>
      <c r="B40" s="65" t="n">
        <f aca="false">Model!C42</f>
        <v>545331.53</v>
      </c>
      <c r="C40" s="66" t="n">
        <v>545331.53</v>
      </c>
      <c r="D40" s="59" t="n">
        <v>0.01</v>
      </c>
      <c r="E40" s="38" t="str">
        <f aca="false">IF(ABS(B40-C40)&lt;=D40,"PASS","FAIL")</f>
        <v>PASS</v>
      </c>
    </row>
    <row r="42" customFormat="false" ht="15" hidden="false" customHeight="false" outlineLevel="0" collapsed="false">
      <c r="A42" s="38" t="s">
        <v>235</v>
      </c>
      <c r="E42" s="38" t="str">
        <f aca="false">IF(COUNTIF(E11:E15,"PASS")+COUNTIF(E23:E27,"PASS")+COUNTIF(E32:E40,"PASS")=19,"ALL PASS","CHECK FAILED")</f>
        <v>ALL PASS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2026-09-25T05:55:11Z</dcterms:created>
  <dc:creator>openpyxl</dc:creator>
  <dc:description/>
  <dc:language>en-US</dc:language>
  <cp:lastModifiedBy/>
  <dcterms:modified xsi:type="dcterms:W3CDTF">2026-09-25T05:55:11Z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